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n-my.sharepoint.com/personal/u2024645_giki_edu_pk/Documents/Semester 4/OEL's/"/>
    </mc:Choice>
  </mc:AlternateContent>
  <xr:revisionPtr revIDLastSave="858" documentId="8_{9605B4DD-2EB6-1F48-A9F9-C91352CED04B}" xr6:coauthVersionLast="47" xr6:coauthVersionMax="47" xr10:uidLastSave="{2236B273-93F0-C149-8AE6-385A0F3BCD2E}"/>
  <bookViews>
    <workbookView xWindow="0" yWindow="660" windowWidth="15420" windowHeight="16740" xr2:uid="{00000000-000D-0000-FFFF-FFFF00000000}"/>
  </bookViews>
  <sheets>
    <sheet name="Seive Analysis" sheetId="5" r:id="rId1"/>
    <sheet name="Specific Gravity" sheetId="6" r:id="rId2"/>
    <sheet name="Hydrometer Analysis" sheetId="7" r:id="rId3"/>
    <sheet name="Atterberg Limits" sheetId="8" r:id="rId4"/>
    <sheet name="Seive + Hydro Data" sheetId="15" r:id="rId5"/>
    <sheet name="Permeability" sheetId="1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8" l="1"/>
  <c r="K9" i="8"/>
  <c r="K10" i="8"/>
  <c r="F33" i="15" a="1"/>
  <c r="F33" i="15" s="1"/>
  <c r="F34" i="15" a="1"/>
  <c r="F34" i="15" s="1"/>
  <c r="F27" i="6"/>
  <c r="F26" i="6"/>
  <c r="F25" i="6"/>
  <c r="E15" i="15"/>
  <c r="E16" i="15"/>
  <c r="E17" i="15"/>
  <c r="E18" i="15"/>
  <c r="E19" i="15"/>
  <c r="E20" i="15"/>
  <c r="E21" i="15"/>
  <c r="E22" i="15"/>
  <c r="E23" i="15"/>
  <c r="E24" i="15"/>
  <c r="E25" i="15"/>
  <c r="E15" i="8"/>
  <c r="G63" i="8" s="1"/>
  <c r="G64" i="8" s="1"/>
  <c r="J9" i="8"/>
  <c r="J10" i="8"/>
  <c r="J8" i="8"/>
  <c r="C16" i="16"/>
  <c r="C13" i="16"/>
  <c r="E13" i="15"/>
  <c r="F32" i="15" s="1" a="1"/>
  <c r="F32" i="15" s="1"/>
  <c r="E14" i="15"/>
  <c r="E12" i="15"/>
  <c r="G16" i="15" s="1" a="1"/>
  <c r="G16" i="15" s="1"/>
  <c r="G17" i="15" s="1"/>
  <c r="C37" i="8"/>
  <c r="C38" i="8"/>
  <c r="C39" i="8"/>
  <c r="C40" i="8"/>
  <c r="C41" i="8"/>
  <c r="C42" i="8"/>
  <c r="C43" i="8"/>
  <c r="C44" i="8"/>
  <c r="C45" i="8"/>
  <c r="C46" i="8"/>
  <c r="B38" i="8"/>
  <c r="B39" i="8"/>
  <c r="B40" i="8"/>
  <c r="B41" i="8"/>
  <c r="B42" i="8"/>
  <c r="B43" i="8"/>
  <c r="B44" i="8"/>
  <c r="B45" i="8"/>
  <c r="B46" i="8"/>
  <c r="E25" i="8"/>
  <c r="C25" i="8"/>
  <c r="D25" i="8"/>
  <c r="B25" i="8"/>
  <c r="C12" i="8"/>
  <c r="B12" i="8"/>
  <c r="D14" i="8" s="1"/>
  <c r="D12" i="8"/>
  <c r="B14" i="8" s="1"/>
  <c r="M8" i="7"/>
  <c r="M9" i="7"/>
  <c r="M10" i="7"/>
  <c r="M11" i="7"/>
  <c r="M12" i="7"/>
  <c r="M13" i="7"/>
  <c r="M14" i="7"/>
  <c r="M15" i="7"/>
  <c r="M16" i="7"/>
  <c r="M7" i="7"/>
  <c r="L8" i="7"/>
  <c r="L9" i="7"/>
  <c r="L10" i="7"/>
  <c r="L11" i="7"/>
  <c r="L12" i="7"/>
  <c r="L13" i="7"/>
  <c r="L14" i="7"/>
  <c r="L15" i="7"/>
  <c r="L16" i="7"/>
  <c r="L7" i="7"/>
  <c r="I8" i="7"/>
  <c r="I9" i="7"/>
  <c r="I10" i="7"/>
  <c r="I11" i="7"/>
  <c r="I12" i="7"/>
  <c r="I13" i="7"/>
  <c r="I14" i="7"/>
  <c r="I15" i="7"/>
  <c r="I16" i="7"/>
  <c r="I7" i="7"/>
  <c r="H8" i="7"/>
  <c r="H9" i="7"/>
  <c r="H10" i="7"/>
  <c r="H11" i="7"/>
  <c r="H12" i="7"/>
  <c r="H13" i="7"/>
  <c r="H14" i="7"/>
  <c r="H15" i="7"/>
  <c r="H16" i="7"/>
  <c r="H7" i="7"/>
  <c r="B15" i="7"/>
  <c r="C14" i="6"/>
  <c r="D14" i="6"/>
  <c r="B14" i="6"/>
  <c r="E14" i="6"/>
  <c r="F22" i="5"/>
  <c r="H11" i="5"/>
  <c r="H12" i="5" s="1"/>
  <c r="L25" i="5" l="1"/>
  <c r="J21" i="5"/>
  <c r="O25" i="5"/>
  <c r="O24" i="5"/>
  <c r="O28" i="5"/>
  <c r="L28" i="5"/>
  <c r="O27" i="5"/>
  <c r="J22" i="5"/>
  <c r="L31" i="5"/>
  <c r="O31" i="5"/>
  <c r="O30" i="5"/>
  <c r="H13" i="5"/>
  <c r="G20" i="15" a="1"/>
  <c r="G20" i="15" s="1"/>
  <c r="G21" i="15" s="1"/>
  <c r="H33" i="15"/>
  <c r="G27" i="15" a="1"/>
  <c r="G27" i="15" s="1"/>
  <c r="G28" i="15" s="1"/>
  <c r="B29" i="8"/>
  <c r="C14" i="8"/>
  <c r="E14" i="8"/>
  <c r="G24" i="15" a="1"/>
  <c r="G24" i="15" s="1"/>
  <c r="G25" i="15" s="1"/>
  <c r="O52" i="15"/>
  <c r="O53" i="15"/>
  <c r="L53" i="15"/>
  <c r="L49" i="15"/>
  <c r="O49" i="15"/>
  <c r="O48" i="15"/>
  <c r="O44" i="15"/>
  <c r="L45" i="15"/>
  <c r="O45" i="15"/>
  <c r="H32" i="15"/>
  <c r="H14" i="5" l="1"/>
  <c r="H15" i="5" l="1"/>
  <c r="H16" i="5" l="1"/>
  <c r="H17" i="5" l="1"/>
  <c r="I17" i="5" l="1"/>
  <c r="J17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<sst xmlns="http://schemas.openxmlformats.org/spreadsheetml/2006/main" count="101" uniqueCount="85">
  <si>
    <t>Sieve Number</t>
  </si>
  <si>
    <t>Soil Retained (g)</t>
  </si>
  <si>
    <t>#4</t>
  </si>
  <si>
    <t>#10</t>
  </si>
  <si>
    <t>#40</t>
  </si>
  <si>
    <t>#200</t>
  </si>
  <si>
    <t>Pan</t>
  </si>
  <si>
    <t>% Passing</t>
  </si>
  <si>
    <t>Diameter   (mm)</t>
  </si>
  <si>
    <t>% sand</t>
  </si>
  <si>
    <t>RESULTS</t>
  </si>
  <si>
    <t>% fines</t>
  </si>
  <si>
    <t>D60 (mm)</t>
  </si>
  <si>
    <t>D30 (mm)</t>
  </si>
  <si>
    <t>D10 (mm)</t>
  </si>
  <si>
    <t>% Mass  Retain</t>
  </si>
  <si>
    <t>Cu = D60/D10</t>
  </si>
  <si>
    <t>Cc = D30^2/D10* D60</t>
  </si>
  <si>
    <t>Sieve Analysis test calculations &amp; Particle Size Distribution Curve</t>
  </si>
  <si>
    <t>Geotech with Naqeeb</t>
  </si>
  <si>
    <t>Channel link:</t>
  </si>
  <si>
    <t>% gravel</t>
  </si>
  <si>
    <t>https://www.youtube.com/channel/UCQ1Do-2Vt2x4n5NjwJD-XOA</t>
  </si>
  <si>
    <t xml:space="preserve">Video link: </t>
  </si>
  <si>
    <t>https://youtu.be/SxHEaEIdtA0</t>
  </si>
  <si>
    <t>Don't forget to support us.</t>
  </si>
  <si>
    <t>Inputs</t>
  </si>
  <si>
    <t>Accumulative Retain (gm)</t>
  </si>
  <si>
    <t>Gs</t>
  </si>
  <si>
    <t>A</t>
  </si>
  <si>
    <t>Test No.</t>
  </si>
  <si>
    <t xml:space="preserve">T </t>
  </si>
  <si>
    <t>W1 (g)</t>
  </si>
  <si>
    <t>W2 (g)</t>
  </si>
  <si>
    <t>W3 (g)</t>
  </si>
  <si>
    <t>W4 (g)</t>
  </si>
  <si>
    <t>Specific Gravity Determination using Pycnometer</t>
  </si>
  <si>
    <t>Hydrometer Analysis</t>
  </si>
  <si>
    <t>Hydrometer #:</t>
  </si>
  <si>
    <t>Dispersing Agent:</t>
  </si>
  <si>
    <t>Gs:</t>
  </si>
  <si>
    <t>F200:</t>
  </si>
  <si>
    <t>Meniscus Correction:</t>
  </si>
  <si>
    <t>Zero Correction:</t>
  </si>
  <si>
    <t>Temperature Correction:</t>
  </si>
  <si>
    <t>Total Correction:</t>
  </si>
  <si>
    <t>152-H</t>
  </si>
  <si>
    <t>SHMP</t>
  </si>
  <si>
    <t>Ws (g):</t>
  </si>
  <si>
    <t>Specific Gravity Correction (a):</t>
  </si>
  <si>
    <t>% Finer</t>
  </si>
  <si>
    <t>Actual Hydrometer Reading (mm)</t>
  </si>
  <si>
    <t>Corrected Hydrometer Reading (mm)</t>
  </si>
  <si>
    <t>K</t>
  </si>
  <si>
    <t>D (mm)</t>
  </si>
  <si>
    <t>Elapsed Time (min)</t>
  </si>
  <si>
    <t>Effective Depth, L (cm)</t>
  </si>
  <si>
    <t>Adjusted % Finer</t>
  </si>
  <si>
    <t>Particle Size (mm)</t>
  </si>
  <si>
    <t>Log Data</t>
  </si>
  <si>
    <t>ATTERBERG LIMITS</t>
  </si>
  <si>
    <t>LIQUID LIMIT</t>
  </si>
  <si>
    <t>Trial</t>
  </si>
  <si>
    <t>W1</t>
  </si>
  <si>
    <t>W2</t>
  </si>
  <si>
    <t>W3</t>
  </si>
  <si>
    <t>Moisture Content</t>
  </si>
  <si>
    <t>No. Of Blows</t>
  </si>
  <si>
    <t>Liquid Limit</t>
  </si>
  <si>
    <t>PLASTIC LIMIT</t>
  </si>
  <si>
    <t xml:space="preserve">No. Of Blows </t>
  </si>
  <si>
    <t>Log Scale</t>
  </si>
  <si>
    <t>Plasticity Index:</t>
  </si>
  <si>
    <t>#50</t>
  </si>
  <si>
    <t>#100</t>
  </si>
  <si>
    <t>LL</t>
  </si>
  <si>
    <t>A-Line</t>
  </si>
  <si>
    <t>U-Line</t>
  </si>
  <si>
    <t>Volume:</t>
  </si>
  <si>
    <t>L</t>
  </si>
  <si>
    <t>D:</t>
  </si>
  <si>
    <t>A:</t>
  </si>
  <si>
    <t>t:</t>
  </si>
  <si>
    <t>H:</t>
  </si>
  <si>
    <t>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</si>
</sst>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00000"/>
    <numFmt numFmtId="166" formatCode="0.0000000000000000"/>
  </numFmts>
  <fonts count="15" x14ac:knownFonts="1"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2" fontId="11" fillId="0" borderId="0" xfId="0" applyNumberFormat="1" applyFont="1"/>
    <xf numFmtId="2" fontId="12" fillId="0" borderId="0" xfId="0" applyNumberFormat="1" applyFont="1"/>
    <xf numFmtId="2" fontId="3" fillId="0" borderId="0" xfId="0" applyNumberFormat="1" applyFont="1"/>
    <xf numFmtId="164" fontId="12" fillId="0" borderId="0" xfId="0" applyNumberFormat="1" applyFont="1"/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164" fontId="3" fillId="0" borderId="0" xfId="0" applyNumberFormat="1" applyFont="1"/>
    <xf numFmtId="164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/>
    <xf numFmtId="164" fontId="3" fillId="2" borderId="2" xfId="0" applyNumberFormat="1" applyFont="1" applyFill="1" applyBorder="1"/>
    <xf numFmtId="164" fontId="8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/>
    <xf numFmtId="164" fontId="5" fillId="0" borderId="0" xfId="0" applyNumberFormat="1" applyFont="1"/>
    <xf numFmtId="164" fontId="10" fillId="0" borderId="0" xfId="2" applyNumberFormat="1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1" applyNumberFormat="1" applyFont="1"/>
    <xf numFmtId="164" fontId="14" fillId="0" borderId="1" xfId="1" applyNumberFormat="1" applyFont="1" applyBorder="1" applyAlignment="1">
      <alignment horizontal="center"/>
    </xf>
    <xf numFmtId="164" fontId="13" fillId="0" borderId="1" xfId="1" applyNumberFormat="1" applyFont="1" applyBorder="1" applyAlignment="1">
      <alignment horizontal="center"/>
    </xf>
    <xf numFmtId="164" fontId="13" fillId="0" borderId="0" xfId="1" applyNumberFormat="1" applyFont="1" applyAlignment="1">
      <alignment horizontal="center" vertical="center"/>
    </xf>
    <xf numFmtId="165" fontId="14" fillId="0" borderId="0" xfId="1" applyNumberFormat="1" applyFont="1"/>
    <xf numFmtId="165" fontId="14" fillId="0" borderId="1" xfId="1" applyNumberFormat="1" applyFont="1" applyBorder="1" applyAlignment="1">
      <alignment horizontal="right"/>
    </xf>
    <xf numFmtId="166" fontId="14" fillId="0" borderId="1" xfId="1" applyNumberFormat="1" applyFont="1" applyBorder="1" applyAlignment="1">
      <alignment horizontal="right"/>
    </xf>
    <xf numFmtId="164" fontId="5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center" wrapText="1"/>
    </xf>
    <xf numFmtId="164" fontId="3" fillId="4" borderId="0" xfId="0" applyNumberFormat="1" applyFont="1" applyFill="1" applyAlignment="1">
      <alignment horizontal="center" wrapText="1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/>
    </xf>
    <xf numFmtId="164" fontId="14" fillId="3" borderId="1" xfId="1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Gradation</a:t>
            </a:r>
            <a:r>
              <a:rPr lang="en-US" sz="1600" b="1" baseline="0"/>
              <a:t> Curve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particle size distribution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'Seive Analysis'!$F$11:$F$16</c:f>
              <c:numCache>
                <c:formatCode>0.00000</c:formatCode>
                <c:ptCount val="6"/>
                <c:pt idx="0">
                  <c:v>4.75</c:v>
                </c:pt>
                <c:pt idx="1">
                  <c:v>2</c:v>
                </c:pt>
                <c:pt idx="2">
                  <c:v>0.42499999999999999</c:v>
                </c:pt>
                <c:pt idx="3">
                  <c:v>0.3</c:v>
                </c:pt>
                <c:pt idx="4">
                  <c:v>0.14899999999999999</c:v>
                </c:pt>
                <c:pt idx="5">
                  <c:v>7.4999999999999997E-2</c:v>
                </c:pt>
              </c:numCache>
            </c:numRef>
          </c:xVal>
          <c:yVal>
            <c:numRef>
              <c:f>'Seive Analysis'!$J$11:$J$16</c:f>
              <c:numCache>
                <c:formatCode>0.00000</c:formatCode>
                <c:ptCount val="6"/>
                <c:pt idx="0">
                  <c:v>97.054726368159209</c:v>
                </c:pt>
                <c:pt idx="1">
                  <c:v>70.945273631840791</c:v>
                </c:pt>
                <c:pt idx="2">
                  <c:v>41.611940298507463</c:v>
                </c:pt>
                <c:pt idx="3">
                  <c:v>35.56218905472636</c:v>
                </c:pt>
                <c:pt idx="4">
                  <c:v>27.960199004975124</c:v>
                </c:pt>
                <c:pt idx="5">
                  <c:v>20.199004975124382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B2-4BB2-9199-BAE790F7DACD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'Seive Analysis'!$L$24:$L$25</c:f>
              <c:numCache>
                <c:formatCode>0.00000</c:formatCode>
                <c:ptCount val="2"/>
                <c:pt idx="0">
                  <c:v>10</c:v>
                </c:pt>
                <c:pt idx="1">
                  <c:v>1.1221300000000001</c:v>
                </c:pt>
              </c:numCache>
            </c:numRef>
          </c:xVal>
          <c:yVal>
            <c:numRef>
              <c:f>'Seive Analysis'!$M$24:$M$25</c:f>
              <c:numCache>
                <c:formatCode>0.00000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B2-4BB2-9199-BAE790F7DACD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  <a:headEnd type="triangle"/>
              <a:tailEnd type="triangle"/>
            </a:ln>
            <a:effectLst/>
          </c:spPr>
          <c:marker>
            <c:symbol val="none"/>
          </c:marker>
          <c:xVal>
            <c:numRef>
              <c:f>'Seive Analysis'!$O$24:$O$25</c:f>
              <c:numCache>
                <c:formatCode>0.00000</c:formatCode>
                <c:ptCount val="2"/>
                <c:pt idx="0">
                  <c:v>1.1221300000000001</c:v>
                </c:pt>
                <c:pt idx="1">
                  <c:v>1.1221300000000001</c:v>
                </c:pt>
              </c:numCache>
            </c:numRef>
          </c:xVal>
          <c:yVal>
            <c:numRef>
              <c:f>'Seive Analysis'!$P$24:$P$25</c:f>
              <c:numCache>
                <c:formatCode>0.00000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B2-4BB2-9199-BAE790F7DACD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Analysis'!$L$27:$L$28</c:f>
              <c:numCache>
                <c:formatCode>0.00000</c:formatCode>
                <c:ptCount val="2"/>
                <c:pt idx="0">
                  <c:v>10</c:v>
                </c:pt>
                <c:pt idx="1">
                  <c:v>0.17978</c:v>
                </c:pt>
              </c:numCache>
            </c:numRef>
          </c:xVal>
          <c:yVal>
            <c:numRef>
              <c:f>'Seive Analysis'!$M$27:$M$28</c:f>
              <c:numCache>
                <c:formatCode>0.00000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B2-4BB2-9199-BAE790F7DACD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  <a:tailEnd type="stealth"/>
            </a:ln>
            <a:effectLst/>
          </c:spPr>
          <c:marker>
            <c:symbol val="none"/>
          </c:marker>
          <c:xVal>
            <c:numRef>
              <c:f>'Seive Analysis'!$O$27:$O$28</c:f>
              <c:numCache>
                <c:formatCode>0.00000</c:formatCode>
                <c:ptCount val="2"/>
                <c:pt idx="0">
                  <c:v>0.17978</c:v>
                </c:pt>
                <c:pt idx="1">
                  <c:v>0.17978</c:v>
                </c:pt>
              </c:numCache>
            </c:numRef>
          </c:xVal>
          <c:yVal>
            <c:numRef>
              <c:f>'Seive Analysis'!$P$27:$P$28</c:f>
              <c:numCache>
                <c:formatCode>0.00000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B2-4BB2-9199-BAE790F7DACD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  <a:tailEnd type="triangle"/>
            </a:ln>
            <a:effectLst/>
          </c:spPr>
          <c:marker>
            <c:symbol val="none"/>
          </c:marker>
          <c:xVal>
            <c:numRef>
              <c:f>'Seive Analysis'!$L$30:$L$31</c:f>
              <c:numCache>
                <c:formatCode>0.00000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xVal>
          <c:yVal>
            <c:numRef>
              <c:f>'Seive Analysis'!$M$30:$M$31</c:f>
              <c:numCache>
                <c:formatCode>0.00000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B2-4BB2-9199-BAE790F7DAC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1">
                    <a:lumMod val="60000"/>
                  </a:schemeClr>
                </a:solidFill>
                <a:round/>
                <a:headEnd type="triangle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1B2-4BB2-9199-BAE790F7DACD}"/>
              </c:ext>
            </c:extLst>
          </c:dPt>
          <c:xVal>
            <c:numRef>
              <c:f>'Seive Analysis'!$O$30:$O$31</c:f>
              <c:numCache>
                <c:formatCode>0.00000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'Seive Analysis'!$P$30:$P$31</c:f>
              <c:numCache>
                <c:formatCode>0.00000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B2-4BB2-9199-BAE790F7D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29264"/>
        <c:axId val="366725656"/>
      </c:scatterChart>
      <c:valAx>
        <c:axId val="366729264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Particle Dia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5656"/>
        <c:crosses val="autoZero"/>
        <c:crossBetween val="midCat"/>
      </c:valAx>
      <c:valAx>
        <c:axId val="3667256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% Passing</a:t>
                </a:r>
              </a:p>
            </c:rich>
          </c:tx>
          <c:layout>
            <c:manualLayout>
              <c:xMode val="edge"/>
              <c:yMode val="edge"/>
              <c:x val="0.9481726340811174"/>
              <c:y val="0.40876078992799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'Atterberg Limits'!$J$8:$J$10</c:f>
              <c:numCache>
                <c:formatCode>General</c:formatCode>
                <c:ptCount val="3"/>
                <c:pt idx="0">
                  <c:v>1.2041199826559248</c:v>
                </c:pt>
                <c:pt idx="1">
                  <c:v>1.3979400086720377</c:v>
                </c:pt>
                <c:pt idx="2">
                  <c:v>1.5440680443502757</c:v>
                </c:pt>
              </c:numCache>
            </c:numRef>
          </c:xVal>
          <c:yVal>
            <c:numRef>
              <c:f>'Atterberg Limits'!$K$8:$K$10</c:f>
              <c:numCache>
                <c:formatCode>General</c:formatCode>
                <c:ptCount val="3"/>
                <c:pt idx="0">
                  <c:v>23.456790123456774</c:v>
                </c:pt>
                <c:pt idx="1">
                  <c:v>21.107266435986137</c:v>
                </c:pt>
                <c:pt idx="2">
                  <c:v>20.481927710843372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3-A342-B0BC-39E947D5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Flow</a:t>
            </a:r>
            <a:r>
              <a:rPr lang="en-US" sz="1600" b="1" baseline="0"/>
              <a:t> Curve</a:t>
            </a:r>
          </a:p>
        </c:rich>
      </c:tx>
      <c:layout>
        <c:manualLayout>
          <c:xMode val="edge"/>
          <c:yMode val="edge"/>
          <c:x val="0.4067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'Atterberg Limits'!$K$7</c:f>
              <c:strCache>
                <c:ptCount val="1"/>
                <c:pt idx="0">
                  <c:v>Moisture Content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'Atterberg Limits'!$J$8:$J$10</c:f>
              <c:numCache>
                <c:formatCode>General</c:formatCode>
                <c:ptCount val="3"/>
                <c:pt idx="0">
                  <c:v>1.2041199826559248</c:v>
                </c:pt>
                <c:pt idx="1">
                  <c:v>1.3979400086720377</c:v>
                </c:pt>
                <c:pt idx="2">
                  <c:v>1.5440680443502757</c:v>
                </c:pt>
              </c:numCache>
            </c:numRef>
          </c:xVal>
          <c:yVal>
            <c:numRef>
              <c:f>'Atterberg Limits'!$K$8:$K$10</c:f>
              <c:numCache>
                <c:formatCode>General</c:formatCode>
                <c:ptCount val="3"/>
                <c:pt idx="0">
                  <c:v>23.456790123456774</c:v>
                </c:pt>
                <c:pt idx="1">
                  <c:v>21.107266435986137</c:v>
                </c:pt>
                <c:pt idx="2">
                  <c:v>20.481927710843372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7-0949-985C-5E376644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279808"/>
        <c:axId val="396294144"/>
      </c:scatterChart>
      <c:valAx>
        <c:axId val="3962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Blows (Log</a:t>
                </a:r>
                <a:r>
                  <a:rPr lang="en-US" b="1" baseline="0"/>
                  <a:t>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94144"/>
        <c:crosses val="autoZero"/>
        <c:crossBetween val="midCat"/>
      </c:valAx>
      <c:valAx>
        <c:axId val="3962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Moisture</a:t>
                </a:r>
                <a:r>
                  <a:rPr lang="en-US" b="1" baseline="0"/>
                  <a:t> Content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279808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Casagrande Plasticity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 Line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'Atterberg Limits'!$B$36:$B$46</c:f>
              <c:numCache>
                <c:formatCode>General</c:formatCode>
                <c:ptCount val="11"/>
                <c:pt idx="2">
                  <c:v>0</c:v>
                </c:pt>
                <c:pt idx="3">
                  <c:v>7.3</c:v>
                </c:pt>
                <c:pt idx="4">
                  <c:v>14.6</c:v>
                </c:pt>
                <c:pt idx="5">
                  <c:v>21.9</c:v>
                </c:pt>
                <c:pt idx="6">
                  <c:v>29.2</c:v>
                </c:pt>
                <c:pt idx="7">
                  <c:v>36.5</c:v>
                </c:pt>
                <c:pt idx="8">
                  <c:v>43.8</c:v>
                </c:pt>
                <c:pt idx="9">
                  <c:v>51.1</c:v>
                </c:pt>
                <c:pt idx="10">
                  <c:v>58.4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2-214A-9AEE-F67AA04B72FD}"/>
            </c:ext>
          </c:extLst>
        </c:ser>
        <c:ser>
          <c:idx val="1"/>
          <c:order val="1"/>
          <c:tx>
            <c:v>U-Line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'Atterberg Limits'!$A$36:$A$46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'Atterberg Limits'!$C$36:$C$46</c:f>
              <c:numCache>
                <c:formatCode>General</c:formatCode>
                <c:ptCount val="11"/>
                <c:pt idx="1">
                  <c:v>0</c:v>
                </c:pt>
                <c:pt idx="2">
                  <c:v>10.8</c:v>
                </c:pt>
                <c:pt idx="3">
                  <c:v>19.8</c:v>
                </c:pt>
                <c:pt idx="4">
                  <c:v>28.8</c:v>
                </c:pt>
                <c:pt idx="5">
                  <c:v>37.800000000000004</c:v>
                </c:pt>
                <c:pt idx="6">
                  <c:v>46.800000000000004</c:v>
                </c:pt>
                <c:pt idx="7">
                  <c:v>55.800000000000004</c:v>
                </c:pt>
                <c:pt idx="8">
                  <c:v>64.8</c:v>
                </c:pt>
                <c:pt idx="9">
                  <c:v>73.8</c:v>
                </c:pt>
                <c:pt idx="10">
                  <c:v>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2-214A-9AEE-F67AA04B72F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'Atterberg Limits'!$G$63:$G$64</c:f>
              <c:numCache>
                <c:formatCode>General</c:formatCode>
                <c:ptCount val="2"/>
                <c:pt idx="0">
                  <c:v>21.540094692563041</c:v>
                </c:pt>
                <c:pt idx="1">
                  <c:v>21.540094692563041</c:v>
                </c:pt>
              </c:numCache>
            </c:numRef>
          </c:xVal>
          <c:yVal>
            <c:numRef>
              <c:f>'Atterberg Limits'!$H$63:$H$64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2-214A-9AEE-F67AA04B7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520256"/>
        <c:axId val="549526976"/>
      </c:scatterChart>
      <c:valAx>
        <c:axId val="5495202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Liquid Limit</a:t>
                </a:r>
              </a:p>
            </c:rich>
          </c:tx>
          <c:layout>
            <c:manualLayout>
              <c:xMode val="edge"/>
              <c:yMode val="edge"/>
              <c:x val="0.40996391076115479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6976"/>
        <c:crosses val="autoZero"/>
        <c:crossBetween val="midCat"/>
        <c:majorUnit val="10"/>
        <c:minorUnit val="4"/>
      </c:valAx>
      <c:valAx>
        <c:axId val="54952697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Plasticity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52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Gradation</a:t>
            </a:r>
            <a:r>
              <a:rPr lang="en-US" sz="1600" b="1" baseline="0"/>
              <a:t> Curve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Hydro Data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'Seive + Hydro Data'!#REF!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'Seive + Hydro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1E-5E4F-AAE5-D37C63806B6F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'Seive + Hydro Data'!$C$12:$C$24</c:f>
              <c:numCache>
                <c:formatCode>0.00000</c:formatCode>
                <c:ptCount val="13"/>
                <c:pt idx="0">
                  <c:v>4.75</c:v>
                </c:pt>
                <c:pt idx="1">
                  <c:v>2</c:v>
                </c:pt>
                <c:pt idx="2">
                  <c:v>0.42499999999999999</c:v>
                </c:pt>
                <c:pt idx="3">
                  <c:v>0.3</c:v>
                </c:pt>
                <c:pt idx="4">
                  <c:v>0.14899999999999999</c:v>
                </c:pt>
                <c:pt idx="5">
                  <c:v>7.4999999999999997E-2</c:v>
                </c:pt>
                <c:pt idx="6">
                  <c:v>6.2E-2</c:v>
                </c:pt>
                <c:pt idx="7">
                  <c:v>3.6999999999999998E-2</c:v>
                </c:pt>
                <c:pt idx="8">
                  <c:v>2.8000000000000001E-2</c:v>
                </c:pt>
                <c:pt idx="9">
                  <c:v>2.5000000000000001E-2</c:v>
                </c:pt>
                <c:pt idx="10">
                  <c:v>1.9E-2</c:v>
                </c:pt>
                <c:pt idx="11">
                  <c:v>1.4999999999999999E-2</c:v>
                </c:pt>
                <c:pt idx="12">
                  <c:v>1.4E-2</c:v>
                </c:pt>
              </c:numCache>
            </c:numRef>
          </c:xVal>
          <c:yVal>
            <c:numRef>
              <c:f>'Seive + Hydro Data'!$D$12:$D$24</c:f>
              <c:numCache>
                <c:formatCode>0.00000</c:formatCode>
                <c:ptCount val="13"/>
                <c:pt idx="0">
                  <c:v>97.054726368159209</c:v>
                </c:pt>
                <c:pt idx="1">
                  <c:v>70.97</c:v>
                </c:pt>
                <c:pt idx="2">
                  <c:v>40.98</c:v>
                </c:pt>
                <c:pt idx="3">
                  <c:v>40.98</c:v>
                </c:pt>
                <c:pt idx="4">
                  <c:v>39.659999999999997</c:v>
                </c:pt>
                <c:pt idx="5">
                  <c:v>20.199004975124382</c:v>
                </c:pt>
                <c:pt idx="6">
                  <c:v>5.98</c:v>
                </c:pt>
                <c:pt idx="7">
                  <c:v>5.28</c:v>
                </c:pt>
                <c:pt idx="8">
                  <c:v>3.1</c:v>
                </c:pt>
                <c:pt idx="9">
                  <c:v>2.35</c:v>
                </c:pt>
                <c:pt idx="10">
                  <c:v>1.5</c:v>
                </c:pt>
                <c:pt idx="11">
                  <c:v>0.78</c:v>
                </c:pt>
                <c:pt idx="1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1E-5E4F-AAE5-D37C63806B6F}"/>
            </c:ext>
          </c:extLst>
        </c:ser>
        <c:ser>
          <c:idx val="1"/>
          <c:order val="2"/>
          <c:tx>
            <c:v>D60-H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Data'!$L$44:$L$45</c:f>
              <c:numCache>
                <c:formatCode>0.00000</c:formatCode>
                <c:ptCount val="2"/>
                <c:pt idx="0">
                  <c:v>10</c:v>
                </c:pt>
                <c:pt idx="1">
                  <c:v>1.1349730897840986</c:v>
                </c:pt>
              </c:numCache>
            </c:numRef>
          </c:xVal>
          <c:yVal>
            <c:numRef>
              <c:f>'Seive + Hydro Data'!$M$44:$M$45</c:f>
              <c:numCache>
                <c:formatCode>0.00000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1E-5E4F-AAE5-D37C63806B6F}"/>
            </c:ext>
          </c:extLst>
        </c:ser>
        <c:ser>
          <c:idx val="2"/>
          <c:order val="3"/>
          <c:tx>
            <c:v>D60-V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Data'!$O$44:$O$45</c:f>
              <c:numCache>
                <c:formatCode>0.00000</c:formatCode>
                <c:ptCount val="2"/>
                <c:pt idx="0">
                  <c:v>1.1349730897840986</c:v>
                </c:pt>
                <c:pt idx="1">
                  <c:v>1.1349730897840986</c:v>
                </c:pt>
              </c:numCache>
            </c:numRef>
          </c:xVal>
          <c:yVal>
            <c:numRef>
              <c:f>'Seive + Hydro Data'!$P$44:$P$45</c:f>
              <c:numCache>
                <c:formatCode>0.00000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1E-5E4F-AAE5-D37C63806B6F}"/>
            </c:ext>
          </c:extLst>
        </c:ser>
        <c:ser>
          <c:idx val="3"/>
          <c:order val="4"/>
          <c:tx>
            <c:v>D30-H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Data'!$L$48:$L$49</c:f>
              <c:numCache>
                <c:formatCode>0.00000</c:formatCode>
                <c:ptCount val="2"/>
                <c:pt idx="0">
                  <c:v>10</c:v>
                </c:pt>
                <c:pt idx="1">
                  <c:v>0.29999999999999993</c:v>
                </c:pt>
              </c:numCache>
            </c:numRef>
          </c:xVal>
          <c:yVal>
            <c:numRef>
              <c:f>'Seive + Hydro Data'!$M$48:$M$49</c:f>
              <c:numCache>
                <c:formatCode>0.00000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1E-5E4F-AAE5-D37C63806B6F}"/>
            </c:ext>
          </c:extLst>
        </c:ser>
        <c:ser>
          <c:idx val="4"/>
          <c:order val="5"/>
          <c:tx>
            <c:v>D30-V</c:v>
          </c:tx>
          <c:spPr>
            <a:ln w="19050" cap="rnd">
              <a:solidFill>
                <a:schemeClr val="tx1"/>
              </a:solidFill>
              <a:round/>
              <a:tailEnd type="stealth" w="med" len="lg"/>
            </a:ln>
            <a:effectLst/>
          </c:spPr>
          <c:marker>
            <c:symbol val="none"/>
          </c:marker>
          <c:xVal>
            <c:numRef>
              <c:f>'Seive + Hydro Data'!$O$48:$O$49</c:f>
              <c:numCache>
                <c:formatCode>0.00000</c:formatCode>
                <c:ptCount val="2"/>
                <c:pt idx="0">
                  <c:v>0.29999999999999993</c:v>
                </c:pt>
                <c:pt idx="1">
                  <c:v>0.29999999999999993</c:v>
                </c:pt>
              </c:numCache>
            </c:numRef>
          </c:xVal>
          <c:yVal>
            <c:numRef>
              <c:f>'Seive + Hydro Data'!$P$48:$P$49</c:f>
              <c:numCache>
                <c:formatCode>0.00000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1E-5E4F-AAE5-D37C63806B6F}"/>
            </c:ext>
          </c:extLst>
        </c:ser>
        <c:ser>
          <c:idx val="5"/>
          <c:order val="6"/>
          <c:tx>
            <c:v>D10-H</c:v>
          </c:tx>
          <c:spPr>
            <a:ln w="19050" cap="rnd">
              <a:solidFill>
                <a:schemeClr val="tx1"/>
              </a:solidFill>
              <a:round/>
              <a:tailEnd type="stealth" w="lg" len="med"/>
            </a:ln>
            <a:effectLst/>
          </c:spPr>
          <c:marker>
            <c:symbol val="none"/>
          </c:marker>
          <c:xVal>
            <c:numRef>
              <c:f>'Seive + Hydro Data'!$L$52:$L$53</c:f>
              <c:numCache>
                <c:formatCode>0.00000</c:formatCode>
                <c:ptCount val="2"/>
                <c:pt idx="0">
                  <c:v>10</c:v>
                </c:pt>
                <c:pt idx="1">
                  <c:v>7.9426210036706024E-2</c:v>
                </c:pt>
              </c:numCache>
            </c:numRef>
          </c:xVal>
          <c:yVal>
            <c:numRef>
              <c:f>'Seive + Hydro Data'!$M$52:$M$53</c:f>
              <c:numCache>
                <c:formatCode>0.00000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1E-5E4F-AAE5-D37C63806B6F}"/>
            </c:ext>
          </c:extLst>
        </c:ser>
        <c:ser>
          <c:idx val="6"/>
          <c:order val="7"/>
          <c:tx>
            <c:v>D10-V</c:v>
          </c:tx>
          <c:spPr>
            <a:ln w="19050" cap="rnd">
              <a:solidFill>
                <a:schemeClr val="tx1"/>
              </a:solidFill>
              <a:round/>
              <a:tailEnd type="stealth" w="lg" len="lg"/>
            </a:ln>
            <a:effectLst/>
          </c:spPr>
          <c:marker>
            <c:symbol val="none"/>
          </c:marker>
          <c:xVal>
            <c:numRef>
              <c:f>'Seive + Hydro Data'!$O$52:$O$53</c:f>
              <c:numCache>
                <c:formatCode>0.00000</c:formatCode>
                <c:ptCount val="2"/>
                <c:pt idx="0">
                  <c:v>7.9426210036706024E-2</c:v>
                </c:pt>
                <c:pt idx="1">
                  <c:v>7.9426210036706024E-2</c:v>
                </c:pt>
              </c:numCache>
            </c:numRef>
          </c:xVal>
          <c:yVal>
            <c:numRef>
              <c:f>'Seive + Hydro Data'!$P$52:$P$53</c:f>
              <c:numCache>
                <c:formatCode>0.00000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1E-5E4F-AAE5-D37C63806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29264"/>
        <c:axId val="366725656"/>
      </c:scatterChart>
      <c:valAx>
        <c:axId val="366729264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Particle Dia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5656"/>
        <c:crosses val="autoZero"/>
        <c:crossBetween val="midCat"/>
      </c:valAx>
      <c:valAx>
        <c:axId val="3667256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% Passing</a:t>
                </a:r>
              </a:p>
            </c:rich>
          </c:tx>
          <c:layout>
            <c:manualLayout>
              <c:xMode val="edge"/>
              <c:yMode val="edge"/>
              <c:x val="0.9481726340811174"/>
              <c:y val="0.408760789927996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2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2</xdr:row>
      <xdr:rowOff>0</xdr:rowOff>
    </xdr:from>
    <xdr:to>
      <xdr:col>20</xdr:col>
      <xdr:colOff>561975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6699FF-5856-4A82-A6E9-0897810C9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12</xdr:row>
      <xdr:rowOff>0</xdr:rowOff>
    </xdr:from>
    <xdr:to>
      <xdr:col>12</xdr:col>
      <xdr:colOff>69850</xdr:colOff>
      <xdr:row>25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ED668-7CE6-3FBC-5110-FB4156F07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12</xdr:row>
      <xdr:rowOff>0</xdr:rowOff>
    </xdr:from>
    <xdr:to>
      <xdr:col>19</xdr:col>
      <xdr:colOff>450477</xdr:colOff>
      <xdr:row>25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A6CCB0-46C8-0A44-9831-E44F03776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373677</xdr:colOff>
      <xdr:row>29</xdr:row>
      <xdr:rowOff>86495</xdr:rowOff>
    </xdr:from>
    <xdr:to>
      <xdr:col>20</xdr:col>
      <xdr:colOff>293299</xdr:colOff>
      <xdr:row>67</xdr:row>
      <xdr:rowOff>126246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CD2D11-0028-4F07-BD0C-11C79322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5277" y="5979295"/>
          <a:ext cx="6625222" cy="7761351"/>
        </a:xfrm>
        <a:prstGeom prst="rect">
          <a:avLst/>
        </a:prstGeom>
      </xdr:spPr>
    </xdr:pic>
    <xdr:clientData/>
  </xdr:twoCellAnchor>
  <xdr:twoCellAnchor>
    <xdr:from>
      <xdr:col>4</xdr:col>
      <xdr:colOff>339811</xdr:colOff>
      <xdr:row>44</xdr:row>
      <xdr:rowOff>18535</xdr:rowOff>
    </xdr:from>
    <xdr:to>
      <xdr:col>9</xdr:col>
      <xdr:colOff>609829</xdr:colOff>
      <xdr:row>57</xdr:row>
      <xdr:rowOff>84438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6EE3FB-48AC-C490-339E-2C1C9FE19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279400</xdr:colOff>
      <xdr:row>10</xdr:row>
      <xdr:rowOff>25400</xdr:rowOff>
    </xdr:from>
    <xdr:to>
      <xdr:col>21</xdr:col>
      <xdr:colOff>318270</xdr:colOff>
      <xdr:row>34</xdr:row>
      <xdr:rowOff>142009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0A181-3248-974E-A3AA-586EF4EFD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channel/UCQ1Do-2Vt2x4n5NjwJD-XO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37C7-0DB7-4743-A124-FC8666773ABC}">
  <dimension ref="A3:P39"/>
  <sheetViews>
    <sheetView tabSelected="1" topLeftCell="I2" zoomScale="93" zoomScaleNormal="100" workbookViewId="0">
      <selection activeCell="I34" sqref="I34"/>
    </sheetView>
  </sheetViews>
  <sheetFormatPr baseColWidth="10" defaultColWidth="8.83203125" defaultRowHeight="14" x14ac:dyDescent="0.2"/>
  <cols>
    <col min="1" max="1" width="8.83203125" style="1"/>
    <col min="2" max="2" width="8.83203125" style="8"/>
    <col min="3" max="3" width="12.83203125" style="8" customWidth="1"/>
    <col min="4" max="5" width="8.83203125" style="8"/>
    <col min="6" max="6" width="12.33203125" style="8" customWidth="1"/>
    <col min="7" max="7" width="16.6640625" style="8" customWidth="1"/>
    <col min="8" max="8" width="17.5" style="8" customWidth="1"/>
    <col min="9" max="9" width="22.1640625" style="8" customWidth="1"/>
    <col min="10" max="10" width="12.33203125" style="8" customWidth="1"/>
    <col min="11" max="16384" width="8.83203125" style="8"/>
  </cols>
  <sheetData>
    <row r="3" spans="2:10" s="8" customFormat="1" x14ac:dyDescent="0.2">
      <c r="E3" s="35" t="s">
        <v>18</v>
      </c>
      <c r="F3" s="36"/>
      <c r="G3" s="36"/>
      <c r="H3" s="36"/>
      <c r="I3" s="36"/>
      <c r="J3" s="36"/>
    </row>
    <row r="4" spans="2:10" s="8" customFormat="1" x14ac:dyDescent="0.2">
      <c r="E4" s="36"/>
      <c r="F4" s="36"/>
      <c r="G4" s="36"/>
      <c r="H4" s="36"/>
      <c r="I4" s="36"/>
      <c r="J4" s="36"/>
    </row>
    <row r="5" spans="2:10" s="8" customFormat="1" x14ac:dyDescent="0.2">
      <c r="E5" s="36"/>
      <c r="F5" s="36"/>
      <c r="G5" s="36"/>
      <c r="H5" s="36"/>
      <c r="I5" s="36"/>
      <c r="J5" s="36"/>
    </row>
    <row r="9" spans="2:10" s="8" customFormat="1" ht="15" thickBot="1" x14ac:dyDescent="0.25"/>
    <row r="10" spans="2:10" s="8" customFormat="1" ht="31" thickBot="1" x14ac:dyDescent="0.25">
      <c r="E10" s="9" t="s">
        <v>0</v>
      </c>
      <c r="F10" s="9" t="s">
        <v>8</v>
      </c>
      <c r="G10" s="10" t="s">
        <v>1</v>
      </c>
      <c r="H10" s="11" t="s">
        <v>27</v>
      </c>
      <c r="I10" s="9" t="s">
        <v>15</v>
      </c>
      <c r="J10" s="9" t="s">
        <v>7</v>
      </c>
    </row>
    <row r="11" spans="2:10" s="8" customFormat="1" ht="16" thickBot="1" x14ac:dyDescent="0.25">
      <c r="E11" s="12" t="s">
        <v>2</v>
      </c>
      <c r="F11" s="12">
        <v>4.75</v>
      </c>
      <c r="G11" s="13">
        <v>14.8</v>
      </c>
      <c r="H11" s="14">
        <f>G11</f>
        <v>14.8</v>
      </c>
      <c r="I11" s="14">
        <f>(H11/H$17)*100</f>
        <v>2.9452736318407964</v>
      </c>
      <c r="J11" s="14">
        <f>100-I11</f>
        <v>97.054726368159209</v>
      </c>
    </row>
    <row r="12" spans="2:10" s="8" customFormat="1" ht="16" thickBot="1" x14ac:dyDescent="0.25">
      <c r="B12" s="15" t="s">
        <v>26</v>
      </c>
      <c r="C12" s="16"/>
      <c r="E12" s="12" t="s">
        <v>3</v>
      </c>
      <c r="F12" s="12">
        <v>2</v>
      </c>
      <c r="G12" s="13">
        <v>131.19999999999999</v>
      </c>
      <c r="H12" s="14">
        <f>G12+H11</f>
        <v>146</v>
      </c>
      <c r="I12" s="14">
        <f t="shared" ref="I12:I17" si="0">(H12/H$17)*100</f>
        <v>29.054726368159205</v>
      </c>
      <c r="J12" s="14">
        <f t="shared" ref="J12:J17" si="1">100-I12</f>
        <v>70.945273631840791</v>
      </c>
    </row>
    <row r="13" spans="2:10" s="8" customFormat="1" ht="16" thickBot="1" x14ac:dyDescent="0.25">
      <c r="E13" s="12" t="s">
        <v>4</v>
      </c>
      <c r="F13" s="12">
        <v>0.42499999999999999</v>
      </c>
      <c r="G13" s="13">
        <v>147.4</v>
      </c>
      <c r="H13" s="14">
        <f t="shared" ref="H13:H17" si="2">G13+H12</f>
        <v>293.39999999999998</v>
      </c>
      <c r="I13" s="14">
        <f t="shared" si="0"/>
        <v>58.388059701492537</v>
      </c>
      <c r="J13" s="14">
        <f t="shared" si="1"/>
        <v>41.611940298507463</v>
      </c>
    </row>
    <row r="14" spans="2:10" s="8" customFormat="1" ht="16" thickBot="1" x14ac:dyDescent="0.25">
      <c r="E14" s="12" t="s">
        <v>73</v>
      </c>
      <c r="F14" s="12">
        <v>0.3</v>
      </c>
      <c r="G14" s="13">
        <v>30.4</v>
      </c>
      <c r="H14" s="14">
        <f t="shared" si="2"/>
        <v>323.79999999999995</v>
      </c>
      <c r="I14" s="14">
        <f t="shared" si="0"/>
        <v>64.43781094527364</v>
      </c>
      <c r="J14" s="14">
        <f t="shared" si="1"/>
        <v>35.56218905472636</v>
      </c>
    </row>
    <row r="15" spans="2:10" s="8" customFormat="1" ht="16" thickBot="1" x14ac:dyDescent="0.25">
      <c r="E15" s="12" t="s">
        <v>74</v>
      </c>
      <c r="F15" s="12">
        <v>0.14899999999999999</v>
      </c>
      <c r="G15" s="13">
        <v>38.200000000000003</v>
      </c>
      <c r="H15" s="14">
        <f t="shared" si="2"/>
        <v>361.99999999999994</v>
      </c>
      <c r="I15" s="14">
        <f t="shared" si="0"/>
        <v>72.039800995024876</v>
      </c>
      <c r="J15" s="14">
        <f t="shared" si="1"/>
        <v>27.960199004975124</v>
      </c>
    </row>
    <row r="16" spans="2:10" s="8" customFormat="1" ht="16" thickBot="1" x14ac:dyDescent="0.25">
      <c r="E16" s="12" t="s">
        <v>5</v>
      </c>
      <c r="F16" s="12">
        <v>7.4999999999999997E-2</v>
      </c>
      <c r="G16" s="13">
        <v>39</v>
      </c>
      <c r="H16" s="14">
        <f t="shared" si="2"/>
        <v>400.99999999999994</v>
      </c>
      <c r="I16" s="14">
        <f t="shared" si="0"/>
        <v>79.800995024875618</v>
      </c>
      <c r="J16" s="14">
        <f t="shared" si="1"/>
        <v>20.199004975124382</v>
      </c>
    </row>
    <row r="17" spans="5:16" s="8" customFormat="1" ht="16" thickBot="1" x14ac:dyDescent="0.25">
      <c r="E17" s="17" t="s">
        <v>6</v>
      </c>
      <c r="F17" s="18">
        <v>0</v>
      </c>
      <c r="G17" s="13">
        <v>101.5</v>
      </c>
      <c r="H17" s="14">
        <f t="shared" si="2"/>
        <v>502.49999999999994</v>
      </c>
      <c r="I17" s="14">
        <f t="shared" si="0"/>
        <v>100</v>
      </c>
      <c r="J17" s="14">
        <f t="shared" si="1"/>
        <v>0</v>
      </c>
    </row>
    <row r="19" spans="5:16" s="8" customFormat="1" ht="15" thickBot="1" x14ac:dyDescent="0.25"/>
    <row r="20" spans="5:16" s="8" customFormat="1" ht="15" thickBot="1" x14ac:dyDescent="0.25">
      <c r="E20" s="33" t="s">
        <v>10</v>
      </c>
      <c r="F20" s="34"/>
      <c r="G20" s="34"/>
      <c r="H20" s="34"/>
      <c r="I20" s="34"/>
      <c r="J20" s="34"/>
    </row>
    <row r="21" spans="5:16" s="8" customFormat="1" ht="15" thickBot="1" x14ac:dyDescent="0.25">
      <c r="E21" s="14" t="s">
        <v>21</v>
      </c>
      <c r="F21" s="14">
        <v>2.9453</v>
      </c>
      <c r="G21" s="14" t="s">
        <v>12</v>
      </c>
      <c r="H21" s="14">
        <v>1.1221300000000001</v>
      </c>
      <c r="I21" s="14" t="s">
        <v>16</v>
      </c>
      <c r="J21" s="14" t="e">
        <f>H21/H23</f>
        <v>#DIV/0!</v>
      </c>
    </row>
    <row r="22" spans="5:16" s="8" customFormat="1" ht="15" thickBot="1" x14ac:dyDescent="0.25">
      <c r="E22" s="14" t="s">
        <v>9</v>
      </c>
      <c r="F22" s="14">
        <f>100-(F21+F23)</f>
        <v>76.855699999999999</v>
      </c>
      <c r="G22" s="14" t="s">
        <v>13</v>
      </c>
      <c r="H22" s="14">
        <v>0.17978</v>
      </c>
      <c r="I22" s="14" t="s">
        <v>17</v>
      </c>
      <c r="J22" s="14" t="e">
        <f>(H22*H22)/(H21*H23)</f>
        <v>#DIV/0!</v>
      </c>
    </row>
    <row r="23" spans="5:16" s="8" customFormat="1" ht="15" thickBot="1" x14ac:dyDescent="0.25">
      <c r="E23" s="14" t="s">
        <v>11</v>
      </c>
      <c r="F23" s="14">
        <v>20.199000000000002</v>
      </c>
      <c r="G23" s="14" t="s">
        <v>14</v>
      </c>
      <c r="H23" s="14"/>
      <c r="I23" s="14"/>
      <c r="J23" s="14"/>
    </row>
    <row r="24" spans="5:16" s="8" customFormat="1" x14ac:dyDescent="0.2">
      <c r="L24" s="8">
        <v>10</v>
      </c>
      <c r="M24" s="8">
        <v>60</v>
      </c>
      <c r="O24" s="8">
        <f>H21</f>
        <v>1.1221300000000001</v>
      </c>
      <c r="P24" s="8">
        <v>0</v>
      </c>
    </row>
    <row r="25" spans="5:16" s="8" customFormat="1" x14ac:dyDescent="0.2">
      <c r="L25" s="8">
        <f>H21</f>
        <v>1.1221300000000001</v>
      </c>
      <c r="M25" s="8">
        <v>60</v>
      </c>
      <c r="O25" s="8">
        <f>H21</f>
        <v>1.1221300000000001</v>
      </c>
      <c r="P25" s="8">
        <v>60</v>
      </c>
    </row>
    <row r="27" spans="5:16" s="8" customFormat="1" x14ac:dyDescent="0.2">
      <c r="L27" s="8">
        <v>10</v>
      </c>
      <c r="M27" s="8">
        <v>30</v>
      </c>
      <c r="O27" s="8">
        <f>H22</f>
        <v>0.17978</v>
      </c>
      <c r="P27" s="8">
        <v>0</v>
      </c>
    </row>
    <row r="28" spans="5:16" s="8" customFormat="1" x14ac:dyDescent="0.2">
      <c r="L28" s="8">
        <f>H22</f>
        <v>0.17978</v>
      </c>
      <c r="M28" s="8">
        <v>30</v>
      </c>
      <c r="O28" s="8">
        <f>H22</f>
        <v>0.17978</v>
      </c>
      <c r="P28" s="8">
        <v>30</v>
      </c>
    </row>
    <row r="30" spans="5:16" s="8" customFormat="1" x14ac:dyDescent="0.2">
      <c r="L30" s="8">
        <v>10</v>
      </c>
      <c r="M30" s="8">
        <v>10</v>
      </c>
      <c r="O30" s="8">
        <f>H23</f>
        <v>0</v>
      </c>
      <c r="P30" s="8">
        <v>0</v>
      </c>
    </row>
    <row r="31" spans="5:16" s="8" customFormat="1" x14ac:dyDescent="0.2">
      <c r="L31" s="8">
        <f>H23</f>
        <v>0</v>
      </c>
      <c r="M31" s="8">
        <v>10</v>
      </c>
      <c r="O31" s="8">
        <f>H23</f>
        <v>0</v>
      </c>
      <c r="P31" s="8">
        <v>10</v>
      </c>
    </row>
    <row r="34" spans="2:4" s="8" customFormat="1" ht="16" x14ac:dyDescent="0.2">
      <c r="B34" s="6" t="s">
        <v>19</v>
      </c>
      <c r="C34" s="6"/>
    </row>
    <row r="36" spans="2:4" s="8" customFormat="1" x14ac:dyDescent="0.2">
      <c r="C36" s="19" t="s">
        <v>20</v>
      </c>
      <c r="D36" s="20" t="s">
        <v>22</v>
      </c>
    </row>
    <row r="37" spans="2:4" s="8" customFormat="1" x14ac:dyDescent="0.2">
      <c r="C37" s="19" t="s">
        <v>23</v>
      </c>
      <c r="D37" s="8" t="s">
        <v>24</v>
      </c>
    </row>
    <row r="39" spans="2:4" s="8" customFormat="1" x14ac:dyDescent="0.2">
      <c r="C39" s="8" t="s">
        <v>25</v>
      </c>
    </row>
  </sheetData>
  <mergeCells count="2">
    <mergeCell ref="E20:J20"/>
    <mergeCell ref="E3:J5"/>
  </mergeCells>
  <hyperlinks>
    <hyperlink ref="D36" r:id="rId1" xr:uid="{E465056B-EF32-46CE-A5C2-08A70C61E0A9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EE3A-D90D-4B4F-B195-CC0B2FA7B991}">
  <dimension ref="A3:H27"/>
  <sheetViews>
    <sheetView workbookViewId="0">
      <selection activeCell="F28" sqref="F28"/>
    </sheetView>
  </sheetViews>
  <sheetFormatPr baseColWidth="10" defaultColWidth="10.83203125" defaultRowHeight="14" x14ac:dyDescent="0.2"/>
  <cols>
    <col min="1" max="16384" width="10.83203125" style="4"/>
  </cols>
  <sheetData>
    <row r="3" spans="1:8" ht="19" customHeight="1" x14ac:dyDescent="0.2">
      <c r="A3" s="37" t="s">
        <v>36</v>
      </c>
      <c r="B3" s="37"/>
      <c r="C3" s="37"/>
      <c r="D3" s="37"/>
      <c r="E3" s="37"/>
    </row>
    <row r="4" spans="1:8" ht="19" customHeight="1" x14ac:dyDescent="0.2">
      <c r="A4" s="37"/>
      <c r="B4" s="37"/>
      <c r="C4" s="37"/>
      <c r="D4" s="37"/>
      <c r="E4" s="37"/>
    </row>
    <row r="7" spans="1:8" ht="17" x14ac:dyDescent="0.2">
      <c r="A7" s="2" t="s">
        <v>30</v>
      </c>
      <c r="B7" s="3">
        <v>1</v>
      </c>
      <c r="C7" s="3">
        <v>2</v>
      </c>
      <c r="D7" s="3">
        <v>3</v>
      </c>
      <c r="E7" s="3"/>
      <c r="F7" s="3"/>
      <c r="G7" s="3"/>
      <c r="H7" s="3"/>
    </row>
    <row r="8" spans="1:8" ht="17" x14ac:dyDescent="0.2">
      <c r="A8" s="2" t="s">
        <v>32</v>
      </c>
      <c r="B8" s="3">
        <v>416</v>
      </c>
      <c r="C8" s="3">
        <v>182</v>
      </c>
      <c r="D8" s="3">
        <v>184</v>
      </c>
      <c r="E8" s="3"/>
      <c r="F8" s="3"/>
      <c r="G8" s="3"/>
      <c r="H8" s="3"/>
    </row>
    <row r="9" spans="1:8" ht="17" x14ac:dyDescent="0.2">
      <c r="A9" s="2" t="s">
        <v>33</v>
      </c>
      <c r="B9" s="3">
        <v>516</v>
      </c>
      <c r="C9" s="3">
        <v>281.89999999999998</v>
      </c>
      <c r="D9" s="3">
        <v>283.2</v>
      </c>
      <c r="E9" s="3"/>
      <c r="F9" s="3"/>
      <c r="G9" s="3"/>
      <c r="H9" s="3"/>
    </row>
    <row r="10" spans="1:8" ht="17" x14ac:dyDescent="0.2">
      <c r="A10" s="2" t="s">
        <v>34</v>
      </c>
      <c r="B10" s="3">
        <v>998.57</v>
      </c>
      <c r="C10" s="3">
        <v>742.5</v>
      </c>
      <c r="D10" s="3">
        <v>743.3</v>
      </c>
      <c r="E10" s="3"/>
      <c r="F10" s="3"/>
      <c r="G10" s="3"/>
      <c r="H10" s="3"/>
    </row>
    <row r="11" spans="1:8" ht="17" x14ac:dyDescent="0.2">
      <c r="A11" s="2" t="s">
        <v>35</v>
      </c>
      <c r="B11" s="3">
        <v>934.7</v>
      </c>
      <c r="C11" s="3">
        <v>678.6</v>
      </c>
      <c r="D11" s="3">
        <v>680.6</v>
      </c>
      <c r="E11" s="3"/>
      <c r="F11" s="3"/>
      <c r="G11" s="3"/>
      <c r="H11" s="3"/>
    </row>
    <row r="12" spans="1:8" ht="17" x14ac:dyDescent="0.2">
      <c r="A12" s="2" t="s">
        <v>31</v>
      </c>
      <c r="B12" s="3">
        <v>25</v>
      </c>
      <c r="C12" s="3">
        <v>25</v>
      </c>
      <c r="D12" s="3">
        <v>25</v>
      </c>
      <c r="E12" s="3"/>
      <c r="F12" s="3"/>
      <c r="G12" s="3"/>
      <c r="H12" s="3"/>
    </row>
    <row r="13" spans="1:8" ht="17" x14ac:dyDescent="0.2">
      <c r="A13" s="2" t="s">
        <v>29</v>
      </c>
      <c r="B13" s="3">
        <v>0.99709999999999999</v>
      </c>
      <c r="C13" s="3">
        <v>0.99709999999999999</v>
      </c>
      <c r="D13" s="3">
        <v>0.99709999999999999</v>
      </c>
      <c r="E13" s="3"/>
      <c r="F13" s="3"/>
      <c r="G13" s="3"/>
      <c r="H13" s="3"/>
    </row>
    <row r="14" spans="1:8" ht="17" x14ac:dyDescent="0.2">
      <c r="A14" s="2" t="s">
        <v>28</v>
      </c>
      <c r="B14" s="3">
        <f>(B9-B8)*B13/((B11-B8)-(B10-B9))</f>
        <v>2.7597564350954888</v>
      </c>
      <c r="C14" s="3">
        <f t="shared" ref="C14:D14" si="0">(C9-C8)*C13/((C11-C8)-(C10-C9))</f>
        <v>2.7669524999999995</v>
      </c>
      <c r="D14" s="3">
        <f t="shared" si="0"/>
        <v>2.7099265753424615</v>
      </c>
      <c r="E14" s="3">
        <f>AVERAGE(B14:D14)</f>
        <v>2.745545170145983</v>
      </c>
      <c r="F14" s="3"/>
      <c r="G14" s="3"/>
      <c r="H14" s="3"/>
    </row>
    <row r="15" spans="1:8" ht="17" x14ac:dyDescent="0.2">
      <c r="A15" s="2"/>
      <c r="B15" s="3"/>
      <c r="C15" s="3"/>
      <c r="D15" s="3"/>
      <c r="E15" s="3"/>
      <c r="F15" s="3"/>
      <c r="G15" s="3"/>
      <c r="H15" s="3"/>
    </row>
    <row r="16" spans="1:8" ht="16" x14ac:dyDescent="0.2">
      <c r="B16" s="3"/>
      <c r="C16" s="3"/>
      <c r="D16" s="3"/>
      <c r="E16" s="3"/>
      <c r="F16" s="3"/>
      <c r="G16" s="3"/>
      <c r="H16" s="3"/>
    </row>
    <row r="25" spans="6:6" x14ac:dyDescent="0.2">
      <c r="F25" s="4">
        <f>116.96+149.93+6.6+64.92+47.72+84.6</f>
        <v>470.73</v>
      </c>
    </row>
    <row r="26" spans="6:6" x14ac:dyDescent="0.2">
      <c r="F26" s="4">
        <f>500-470.03</f>
        <v>29.970000000000027</v>
      </c>
    </row>
    <row r="27" spans="6:6" x14ac:dyDescent="0.2">
      <c r="F27" s="4">
        <f>470.73+27.97</f>
        <v>498.70000000000005</v>
      </c>
    </row>
  </sheetData>
  <mergeCells count="1">
    <mergeCell ref="A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A33-1872-C94A-B548-F89FFC13BEC4}">
  <dimension ref="A3:M16"/>
  <sheetViews>
    <sheetView topLeftCell="J1" zoomScale="174" zoomScaleNormal="174" workbookViewId="0">
      <selection activeCell="L7" sqref="L7:M16"/>
    </sheetView>
  </sheetViews>
  <sheetFormatPr baseColWidth="10" defaultColWidth="10.83203125" defaultRowHeight="16" x14ac:dyDescent="0.2"/>
  <cols>
    <col min="1" max="1" width="25.5" style="5" customWidth="1"/>
    <col min="2" max="5" width="10.83203125" style="5"/>
    <col min="6" max="6" width="17.33203125" style="5" customWidth="1"/>
    <col min="7" max="7" width="29" style="5" customWidth="1"/>
    <col min="8" max="8" width="32" style="5" customWidth="1"/>
    <col min="9" max="9" width="10.83203125" style="5"/>
    <col min="10" max="10" width="21.5" style="5" customWidth="1"/>
    <col min="11" max="12" width="10.83203125" style="5"/>
    <col min="13" max="13" width="18" style="5" customWidth="1"/>
    <col min="14" max="16384" width="10.83203125" style="5"/>
  </cols>
  <sheetData>
    <row r="3" spans="1:13" ht="19" customHeight="1" x14ac:dyDescent="0.2">
      <c r="A3" s="38" t="s">
        <v>37</v>
      </c>
      <c r="B3" s="38"/>
    </row>
    <row r="4" spans="1:13" ht="19" customHeight="1" x14ac:dyDescent="0.2">
      <c r="A4" s="38"/>
      <c r="B4" s="38"/>
    </row>
    <row r="6" spans="1:13" x14ac:dyDescent="0.2">
      <c r="A6" s="6" t="s">
        <v>38</v>
      </c>
      <c r="B6" s="5" t="s">
        <v>46</v>
      </c>
      <c r="F6" s="7" t="s">
        <v>55</v>
      </c>
      <c r="G6" s="7" t="s">
        <v>51</v>
      </c>
      <c r="H6" s="7" t="s">
        <v>52</v>
      </c>
      <c r="I6" s="7" t="s">
        <v>50</v>
      </c>
      <c r="J6" s="7" t="s">
        <v>56</v>
      </c>
      <c r="K6" s="7" t="s">
        <v>53</v>
      </c>
      <c r="L6" s="7" t="s">
        <v>54</v>
      </c>
      <c r="M6" s="7" t="s">
        <v>57</v>
      </c>
    </row>
    <row r="7" spans="1:13" x14ac:dyDescent="0.2">
      <c r="A7" s="6" t="s">
        <v>39</v>
      </c>
      <c r="B7" s="5" t="s">
        <v>47</v>
      </c>
      <c r="F7" s="5">
        <v>0.5</v>
      </c>
      <c r="G7" s="5">
        <v>45</v>
      </c>
      <c r="H7" s="5">
        <f>G7-0.7</f>
        <v>44.3</v>
      </c>
      <c r="I7" s="5">
        <f>1.96*H7</f>
        <v>86.827999999999989</v>
      </c>
      <c r="J7" s="5">
        <v>9.0399999999999991</v>
      </c>
      <c r="K7" s="5">
        <v>1.2500000000000001E-2</v>
      </c>
      <c r="L7" s="5">
        <f>K7*SQRT((J7/F7))</f>
        <v>5.3150729063673241E-2</v>
      </c>
      <c r="M7" s="5">
        <f>(I7/100)*20.199</f>
        <v>17.538387719999999</v>
      </c>
    </row>
    <row r="8" spans="1:13" x14ac:dyDescent="0.2">
      <c r="A8" s="6" t="s">
        <v>40</v>
      </c>
      <c r="B8" s="5">
        <v>2.75</v>
      </c>
      <c r="F8" s="5">
        <v>1</v>
      </c>
      <c r="G8" s="5">
        <v>43</v>
      </c>
      <c r="H8" s="5">
        <f t="shared" ref="H8:H16" si="0">G8-0.7</f>
        <v>42.3</v>
      </c>
      <c r="I8" s="5">
        <f t="shared" ref="I8:I16" si="1">1.96*H8</f>
        <v>82.907999999999987</v>
      </c>
      <c r="J8" s="5">
        <v>9.34</v>
      </c>
      <c r="K8" s="5">
        <v>1.2500000000000001E-2</v>
      </c>
      <c r="L8" s="5">
        <f t="shared" ref="L8:L16" si="2">K8*SQRT((J8/F8))</f>
        <v>3.8201766974840318E-2</v>
      </c>
      <c r="M8" s="5">
        <f t="shared" ref="M8:M16" si="3">(I8/100)*20.199</f>
        <v>16.746586919999999</v>
      </c>
    </row>
    <row r="9" spans="1:13" x14ac:dyDescent="0.2">
      <c r="A9" s="6" t="s">
        <v>41</v>
      </c>
      <c r="B9" s="5">
        <v>20.199000000000002</v>
      </c>
      <c r="F9" s="5">
        <v>2</v>
      </c>
      <c r="G9" s="5">
        <v>37</v>
      </c>
      <c r="H9" s="5">
        <f t="shared" si="0"/>
        <v>36.299999999999997</v>
      </c>
      <c r="I9" s="5">
        <f t="shared" si="1"/>
        <v>71.147999999999996</v>
      </c>
      <c r="J9" s="5">
        <v>10.34</v>
      </c>
      <c r="K9" s="5">
        <v>1.2500000000000001E-2</v>
      </c>
      <c r="L9" s="5">
        <f t="shared" si="2"/>
        <v>2.842204250225518E-2</v>
      </c>
      <c r="M9" s="5">
        <f t="shared" si="3"/>
        <v>14.371184520000002</v>
      </c>
    </row>
    <row r="10" spans="1:13" x14ac:dyDescent="0.2">
      <c r="A10" s="6" t="s">
        <v>48</v>
      </c>
      <c r="B10" s="5">
        <v>50</v>
      </c>
      <c r="F10" s="5">
        <v>4</v>
      </c>
      <c r="G10" s="5">
        <v>33</v>
      </c>
      <c r="H10" s="5">
        <f t="shared" si="0"/>
        <v>32.299999999999997</v>
      </c>
      <c r="I10" s="5">
        <f t="shared" si="1"/>
        <v>63.307999999999993</v>
      </c>
      <c r="J10" s="5">
        <v>11.04</v>
      </c>
      <c r="K10" s="5">
        <v>1.2500000000000001E-2</v>
      </c>
      <c r="L10" s="5">
        <f t="shared" si="2"/>
        <v>2.0766559657295187E-2</v>
      </c>
      <c r="M10" s="5">
        <f t="shared" si="3"/>
        <v>12.78758292</v>
      </c>
    </row>
    <row r="11" spans="1:13" x14ac:dyDescent="0.2">
      <c r="A11" s="6" t="s">
        <v>42</v>
      </c>
      <c r="B11" s="5">
        <v>2</v>
      </c>
      <c r="F11" s="5">
        <v>8</v>
      </c>
      <c r="G11" s="5">
        <v>21</v>
      </c>
      <c r="H11" s="5">
        <f t="shared" si="0"/>
        <v>20.3</v>
      </c>
      <c r="I11" s="5">
        <f t="shared" si="1"/>
        <v>39.788000000000004</v>
      </c>
      <c r="J11" s="5">
        <v>12.97</v>
      </c>
      <c r="K11" s="5">
        <v>1.2500000000000001E-2</v>
      </c>
      <c r="L11" s="5">
        <f t="shared" si="2"/>
        <v>1.5916039472808556E-2</v>
      </c>
      <c r="M11" s="5">
        <f t="shared" si="3"/>
        <v>8.036778120000001</v>
      </c>
    </row>
    <row r="12" spans="1:13" x14ac:dyDescent="0.2">
      <c r="A12" s="6" t="s">
        <v>43</v>
      </c>
      <c r="B12" s="5">
        <v>-4</v>
      </c>
      <c r="F12" s="5">
        <v>12</v>
      </c>
      <c r="G12" s="5">
        <v>10</v>
      </c>
      <c r="H12" s="5">
        <f t="shared" si="0"/>
        <v>9.3000000000000007</v>
      </c>
      <c r="I12" s="5">
        <f t="shared" si="1"/>
        <v>18.228000000000002</v>
      </c>
      <c r="J12" s="5">
        <v>14.77</v>
      </c>
      <c r="K12" s="5">
        <v>1.2500000000000001E-2</v>
      </c>
      <c r="L12" s="5">
        <f t="shared" si="2"/>
        <v>1.3867866033868848E-2</v>
      </c>
      <c r="M12" s="5">
        <f t="shared" si="3"/>
        <v>3.6818737200000009</v>
      </c>
    </row>
    <row r="13" spans="1:13" x14ac:dyDescent="0.2">
      <c r="A13" s="6" t="s">
        <v>49</v>
      </c>
      <c r="B13" s="5">
        <v>0.98</v>
      </c>
      <c r="F13" s="5">
        <v>14</v>
      </c>
      <c r="G13" s="5">
        <v>7</v>
      </c>
      <c r="H13" s="5">
        <f t="shared" si="0"/>
        <v>6.3</v>
      </c>
      <c r="I13" s="5">
        <f t="shared" si="1"/>
        <v>12.347999999999999</v>
      </c>
      <c r="J13" s="5">
        <v>15.27</v>
      </c>
      <c r="K13" s="5">
        <v>1.2500000000000001E-2</v>
      </c>
      <c r="L13" s="5">
        <f t="shared" si="2"/>
        <v>1.3054658446043588E-2</v>
      </c>
      <c r="M13" s="5">
        <f t="shared" si="3"/>
        <v>2.4941725200000002</v>
      </c>
    </row>
    <row r="14" spans="1:13" x14ac:dyDescent="0.2">
      <c r="A14" s="6" t="s">
        <v>44</v>
      </c>
      <c r="B14" s="5">
        <v>1.3</v>
      </c>
      <c r="F14" s="5">
        <v>16</v>
      </c>
      <c r="G14" s="5">
        <v>2</v>
      </c>
      <c r="H14" s="5">
        <f t="shared" si="0"/>
        <v>1.3</v>
      </c>
      <c r="I14" s="5">
        <f t="shared" si="1"/>
        <v>2.548</v>
      </c>
      <c r="J14" s="5">
        <v>16.07</v>
      </c>
      <c r="K14" s="5">
        <v>1.2500000000000001E-2</v>
      </c>
      <c r="L14" s="5">
        <f t="shared" si="2"/>
        <v>1.2527313908017155E-2</v>
      </c>
      <c r="M14" s="5">
        <f t="shared" si="3"/>
        <v>0.51467052000000002</v>
      </c>
    </row>
    <row r="15" spans="1:13" x14ac:dyDescent="0.2">
      <c r="A15" s="6" t="s">
        <v>45</v>
      </c>
      <c r="B15" s="5">
        <f>B11+B12+B14</f>
        <v>-0.7</v>
      </c>
      <c r="F15" s="5">
        <v>18</v>
      </c>
      <c r="G15" s="5">
        <v>1</v>
      </c>
      <c r="H15" s="5">
        <f t="shared" si="0"/>
        <v>0.30000000000000004</v>
      </c>
      <c r="I15" s="5">
        <f t="shared" si="1"/>
        <v>0.58800000000000008</v>
      </c>
      <c r="J15" s="5">
        <v>16.239999999999998</v>
      </c>
      <c r="K15" s="5">
        <v>1.2500000000000001E-2</v>
      </c>
      <c r="L15" s="5">
        <f t="shared" si="2"/>
        <v>1.1873172373979174E-2</v>
      </c>
      <c r="M15" s="5">
        <f t="shared" si="3"/>
        <v>0.11877012000000002</v>
      </c>
    </row>
    <row r="16" spans="1:13" x14ac:dyDescent="0.2">
      <c r="F16" s="5">
        <v>20</v>
      </c>
      <c r="G16" s="5">
        <v>1</v>
      </c>
      <c r="H16" s="5">
        <f t="shared" si="0"/>
        <v>0.30000000000000004</v>
      </c>
      <c r="I16" s="5">
        <f t="shared" si="1"/>
        <v>0.58800000000000008</v>
      </c>
      <c r="J16" s="5">
        <v>16.239999999999998</v>
      </c>
      <c r="K16" s="5">
        <v>1.2500000000000001E-2</v>
      </c>
      <c r="L16" s="5">
        <f t="shared" si="2"/>
        <v>1.126388032606881E-2</v>
      </c>
      <c r="M16" s="5">
        <f t="shared" si="3"/>
        <v>0.11877012000000002</v>
      </c>
    </row>
  </sheetData>
  <mergeCells count="1">
    <mergeCell ref="A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B3EE-9023-B141-9B83-9A08FFFA03E5}">
  <dimension ref="A4:K64"/>
  <sheetViews>
    <sheetView topLeftCell="I8" zoomScale="114" zoomScaleNormal="114" workbookViewId="0">
      <selection activeCell="I8" sqref="I8"/>
    </sheetView>
  </sheetViews>
  <sheetFormatPr baseColWidth="10" defaultColWidth="10.83203125" defaultRowHeight="16" x14ac:dyDescent="0.2"/>
  <cols>
    <col min="1" max="1" width="17.83203125" style="23" customWidth="1"/>
    <col min="2" max="8" width="10.83203125" style="23"/>
    <col min="9" max="9" width="13.1640625" style="23" customWidth="1"/>
    <col min="10" max="10" width="14.33203125" style="23" customWidth="1"/>
    <col min="11" max="11" width="17.6640625" style="23" customWidth="1"/>
    <col min="12" max="16384" width="10.83203125" style="23"/>
  </cols>
  <sheetData>
    <row r="4" spans="1:11" x14ac:dyDescent="0.2">
      <c r="A4" s="21" t="s">
        <v>60</v>
      </c>
    </row>
    <row r="5" spans="1:11" x14ac:dyDescent="0.2">
      <c r="A5" s="21"/>
    </row>
    <row r="6" spans="1:11" x14ac:dyDescent="0.2">
      <c r="A6" s="21" t="s">
        <v>61</v>
      </c>
      <c r="I6" s="24"/>
      <c r="J6" s="24"/>
      <c r="K6" s="24"/>
    </row>
    <row r="7" spans="1:11" x14ac:dyDescent="0.2">
      <c r="A7" s="21"/>
      <c r="I7" s="22" t="s">
        <v>70</v>
      </c>
      <c r="J7" s="25" t="s">
        <v>71</v>
      </c>
      <c r="K7" s="22" t="s">
        <v>66</v>
      </c>
    </row>
    <row r="8" spans="1:11" x14ac:dyDescent="0.2">
      <c r="A8" s="21" t="s">
        <v>62</v>
      </c>
      <c r="B8" s="23">
        <v>1</v>
      </c>
      <c r="C8" s="23">
        <v>2</v>
      </c>
      <c r="D8" s="23">
        <v>3</v>
      </c>
      <c r="I8" s="23">
        <v>16</v>
      </c>
      <c r="J8" s="23">
        <f>LOG10(I8)</f>
        <v>1.2041199826559248</v>
      </c>
      <c r="K8" s="23">
        <f>B12</f>
        <v>23.456790123456774</v>
      </c>
    </row>
    <row r="9" spans="1:11" x14ac:dyDescent="0.2">
      <c r="A9" s="21" t="s">
        <v>63</v>
      </c>
      <c r="B9" s="23">
        <v>27</v>
      </c>
      <c r="C9" s="23">
        <v>19</v>
      </c>
      <c r="D9" s="23">
        <v>35</v>
      </c>
      <c r="I9" s="23">
        <v>25</v>
      </c>
      <c r="J9" s="23">
        <f t="shared" ref="J9:J10" si="0">LOG10(I9)</f>
        <v>1.3979400086720377</v>
      </c>
      <c r="K9" s="23">
        <f>C12</f>
        <v>21.107266435986137</v>
      </c>
    </row>
    <row r="10" spans="1:11" x14ac:dyDescent="0.2">
      <c r="A10" s="21" t="s">
        <v>64</v>
      </c>
      <c r="B10" s="23">
        <v>50</v>
      </c>
      <c r="C10" s="23">
        <v>40</v>
      </c>
      <c r="D10" s="23">
        <v>64</v>
      </c>
      <c r="I10" s="23">
        <v>35</v>
      </c>
      <c r="J10" s="23">
        <f t="shared" si="0"/>
        <v>1.5440680443502757</v>
      </c>
      <c r="K10" s="23">
        <f>D12</f>
        <v>20.481927710843372</v>
      </c>
    </row>
    <row r="11" spans="1:11" x14ac:dyDescent="0.2">
      <c r="A11" s="21" t="s">
        <v>65</v>
      </c>
      <c r="B11" s="23">
        <v>45.63</v>
      </c>
      <c r="C11" s="23">
        <v>36.340000000000003</v>
      </c>
      <c r="D11" s="23">
        <v>59.07</v>
      </c>
    </row>
    <row r="12" spans="1:11" x14ac:dyDescent="0.2">
      <c r="A12" s="21" t="s">
        <v>66</v>
      </c>
      <c r="B12" s="23">
        <f>100*(B10-B11)/(B11-B9)</f>
        <v>23.456790123456774</v>
      </c>
      <c r="C12" s="23">
        <f t="shared" ref="C12" si="1">100*(C10-C11)/(C11-C9)</f>
        <v>21.107266435986137</v>
      </c>
      <c r="D12" s="23">
        <f>100*(D10-D11)/(D11-D9)</f>
        <v>20.481927710843372</v>
      </c>
    </row>
    <row r="13" spans="1:11" x14ac:dyDescent="0.2">
      <c r="A13" s="21" t="s">
        <v>67</v>
      </c>
      <c r="B13" s="23">
        <v>16</v>
      </c>
      <c r="C13" s="23">
        <v>25</v>
      </c>
      <c r="D13" s="23">
        <v>35</v>
      </c>
    </row>
    <row r="14" spans="1:11" x14ac:dyDescent="0.2">
      <c r="A14" s="39" t="s">
        <v>68</v>
      </c>
      <c r="B14" s="23">
        <f>D12*(B13/25)^0.121</f>
        <v>19.405221567725714</v>
      </c>
      <c r="C14" s="23">
        <f t="shared" ref="C14" si="2">C12*(C13/25)^0.121</f>
        <v>21.107266435986137</v>
      </c>
      <c r="D14" s="23">
        <f>B12*(D13/25)^0.121</f>
        <v>24.431496770409378</v>
      </c>
      <c r="E14" s="23">
        <f>AVERAGE(B14:D14)</f>
        <v>21.647994924707078</v>
      </c>
    </row>
    <row r="15" spans="1:11" x14ac:dyDescent="0.2">
      <c r="A15" s="39"/>
      <c r="E15" s="23">
        <f>-8.9295*(LOG10(25))+(34.023)</f>
        <v>21.540094692563041</v>
      </c>
    </row>
    <row r="19" spans="1:5" x14ac:dyDescent="0.2">
      <c r="A19" s="21" t="s">
        <v>69</v>
      </c>
    </row>
    <row r="21" spans="1:5" x14ac:dyDescent="0.2">
      <c r="A21" s="21" t="s">
        <v>62</v>
      </c>
      <c r="B21" s="23">
        <v>1</v>
      </c>
      <c r="C21" s="23">
        <v>2</v>
      </c>
      <c r="D21" s="23">
        <v>3</v>
      </c>
    </row>
    <row r="22" spans="1:5" x14ac:dyDescent="0.2">
      <c r="A22" s="21" t="s">
        <v>63</v>
      </c>
      <c r="B22" s="23">
        <v>19</v>
      </c>
      <c r="C22" s="23">
        <v>21</v>
      </c>
      <c r="D22" s="23">
        <v>15</v>
      </c>
    </row>
    <row r="23" spans="1:5" x14ac:dyDescent="0.2">
      <c r="A23" s="21" t="s">
        <v>64</v>
      </c>
      <c r="B23" s="23">
        <v>22</v>
      </c>
      <c r="C23" s="23">
        <v>25</v>
      </c>
      <c r="D23" s="23">
        <v>21</v>
      </c>
    </row>
    <row r="24" spans="1:5" x14ac:dyDescent="0.2">
      <c r="A24" s="21" t="s">
        <v>65</v>
      </c>
      <c r="B24" s="23">
        <v>21.57</v>
      </c>
      <c r="C24" s="23">
        <v>24.39</v>
      </c>
      <c r="D24" s="23">
        <v>20.079999999999998</v>
      </c>
    </row>
    <row r="25" spans="1:5" x14ac:dyDescent="0.2">
      <c r="A25" s="21" t="s">
        <v>66</v>
      </c>
      <c r="B25" s="23">
        <f>100*(B23-B24)/(B24-B22)</f>
        <v>16.731517509727613</v>
      </c>
      <c r="C25" s="23">
        <f t="shared" ref="C25:D25" si="3">100*(C23-C24)/(C24-C22)</f>
        <v>17.99410029498523</v>
      </c>
      <c r="D25" s="23">
        <f t="shared" si="3"/>
        <v>18.11023622047248</v>
      </c>
      <c r="E25" s="23">
        <f>AVERAGE(B25:D25)</f>
        <v>17.611951341728439</v>
      </c>
    </row>
    <row r="29" spans="1:5" x14ac:dyDescent="0.2">
      <c r="A29" s="21" t="s">
        <v>72</v>
      </c>
      <c r="B29" s="23">
        <f>E15-E25</f>
        <v>3.9281433508346026</v>
      </c>
    </row>
    <row r="35" spans="1:3" x14ac:dyDescent="0.2">
      <c r="A35" s="23" t="s">
        <v>75</v>
      </c>
      <c r="B35" s="23" t="s">
        <v>76</v>
      </c>
      <c r="C35" s="23" t="s">
        <v>77</v>
      </c>
    </row>
    <row r="36" spans="1:3" x14ac:dyDescent="0.2">
      <c r="A36" s="23">
        <v>0</v>
      </c>
    </row>
    <row r="37" spans="1:3" x14ac:dyDescent="0.2">
      <c r="A37" s="23">
        <v>8</v>
      </c>
      <c r="C37" s="23">
        <f t="shared" ref="C37:C46" si="4">0.9*(A37-8)</f>
        <v>0</v>
      </c>
    </row>
    <row r="38" spans="1:3" x14ac:dyDescent="0.2">
      <c r="A38" s="23">
        <v>20</v>
      </c>
      <c r="B38" s="23">
        <f t="shared" ref="B38:B46" si="5">0.73*(A38-20)</f>
        <v>0</v>
      </c>
      <c r="C38" s="23">
        <f t="shared" si="4"/>
        <v>10.8</v>
      </c>
    </row>
    <row r="39" spans="1:3" x14ac:dyDescent="0.2">
      <c r="A39" s="23">
        <v>30</v>
      </c>
      <c r="B39" s="23">
        <f t="shared" si="5"/>
        <v>7.3</v>
      </c>
      <c r="C39" s="23">
        <f t="shared" si="4"/>
        <v>19.8</v>
      </c>
    </row>
    <row r="40" spans="1:3" x14ac:dyDescent="0.2">
      <c r="A40" s="23">
        <v>40</v>
      </c>
      <c r="B40" s="23">
        <f t="shared" si="5"/>
        <v>14.6</v>
      </c>
      <c r="C40" s="23">
        <f t="shared" si="4"/>
        <v>28.8</v>
      </c>
    </row>
    <row r="41" spans="1:3" x14ac:dyDescent="0.2">
      <c r="A41" s="23">
        <v>50</v>
      </c>
      <c r="B41" s="23">
        <f t="shared" si="5"/>
        <v>21.9</v>
      </c>
      <c r="C41" s="23">
        <f t="shared" si="4"/>
        <v>37.800000000000004</v>
      </c>
    </row>
    <row r="42" spans="1:3" x14ac:dyDescent="0.2">
      <c r="A42" s="23">
        <v>60</v>
      </c>
      <c r="B42" s="23">
        <f t="shared" si="5"/>
        <v>29.2</v>
      </c>
      <c r="C42" s="23">
        <f t="shared" si="4"/>
        <v>46.800000000000004</v>
      </c>
    </row>
    <row r="43" spans="1:3" x14ac:dyDescent="0.2">
      <c r="A43" s="23">
        <v>70</v>
      </c>
      <c r="B43" s="23">
        <f t="shared" si="5"/>
        <v>36.5</v>
      </c>
      <c r="C43" s="23">
        <f t="shared" si="4"/>
        <v>55.800000000000004</v>
      </c>
    </row>
    <row r="44" spans="1:3" x14ac:dyDescent="0.2">
      <c r="A44" s="23">
        <v>80</v>
      </c>
      <c r="B44" s="23">
        <f t="shared" si="5"/>
        <v>43.8</v>
      </c>
      <c r="C44" s="23">
        <f t="shared" si="4"/>
        <v>64.8</v>
      </c>
    </row>
    <row r="45" spans="1:3" x14ac:dyDescent="0.2">
      <c r="A45" s="23">
        <v>90</v>
      </c>
      <c r="B45" s="23">
        <f t="shared" si="5"/>
        <v>51.1</v>
      </c>
      <c r="C45" s="23">
        <f t="shared" si="4"/>
        <v>73.8</v>
      </c>
    </row>
    <row r="46" spans="1:3" x14ac:dyDescent="0.2">
      <c r="A46" s="23">
        <v>100</v>
      </c>
      <c r="B46" s="23">
        <f t="shared" si="5"/>
        <v>58.4</v>
      </c>
      <c r="C46" s="23">
        <f t="shared" si="4"/>
        <v>82.8</v>
      </c>
    </row>
    <row r="63" spans="7:8" x14ac:dyDescent="0.2">
      <c r="G63" s="23">
        <f>E15</f>
        <v>21.540094692563041</v>
      </c>
      <c r="H63" s="23">
        <v>0</v>
      </c>
    </row>
    <row r="64" spans="7:8" x14ac:dyDescent="0.2">
      <c r="G64" s="23">
        <f>G63</f>
        <v>21.540094692563041</v>
      </c>
      <c r="H64" s="23">
        <v>60</v>
      </c>
    </row>
  </sheetData>
  <mergeCells count="1">
    <mergeCell ref="A14:A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4B66-96BF-424B-B19C-8C4EBBA4C236}">
  <dimension ref="C11:P53"/>
  <sheetViews>
    <sheetView topLeftCell="D12" zoomScale="134" zoomScaleNormal="134" workbookViewId="0">
      <selection activeCell="D12" sqref="D12"/>
    </sheetView>
  </sheetViews>
  <sheetFormatPr baseColWidth="10" defaultColWidth="10.83203125" defaultRowHeight="16" x14ac:dyDescent="0.2"/>
  <cols>
    <col min="1" max="2" width="10.83203125" style="26"/>
    <col min="3" max="3" width="21.83203125" style="26" customWidth="1"/>
    <col min="4" max="5" width="10.83203125" style="26"/>
    <col min="6" max="6" width="21.33203125" style="26" bestFit="1" customWidth="1"/>
    <col min="7" max="7" width="19.5" style="26" customWidth="1"/>
    <col min="8" max="16384" width="10.83203125" style="26"/>
  </cols>
  <sheetData>
    <row r="11" spans="3:7" x14ac:dyDescent="0.2">
      <c r="C11" s="29" t="s">
        <v>58</v>
      </c>
      <c r="D11" s="29" t="s">
        <v>50</v>
      </c>
      <c r="E11" s="29" t="s">
        <v>59</v>
      </c>
    </row>
    <row r="12" spans="3:7" x14ac:dyDescent="0.2">
      <c r="C12" s="26">
        <v>4.75</v>
      </c>
      <c r="D12" s="26">
        <v>97.054726368159209</v>
      </c>
      <c r="E12" s="26">
        <f>LOG10(C12)</f>
        <v>0.67669360962486658</v>
      </c>
    </row>
    <row r="13" spans="3:7" x14ac:dyDescent="0.2">
      <c r="C13" s="26">
        <v>2</v>
      </c>
      <c r="D13" s="26">
        <v>70.97</v>
      </c>
      <c r="E13" s="26">
        <f t="shared" ref="E13:E14" si="0">LOG10(C13)</f>
        <v>0.3010299956639812</v>
      </c>
    </row>
    <row r="14" spans="3:7" x14ac:dyDescent="0.2">
      <c r="C14" s="26">
        <v>0.42499999999999999</v>
      </c>
      <c r="D14" s="26">
        <v>40.98</v>
      </c>
      <c r="E14" s="26">
        <f t="shared" si="0"/>
        <v>-0.37161106994968846</v>
      </c>
    </row>
    <row r="15" spans="3:7" x14ac:dyDescent="0.2">
      <c r="C15" s="26">
        <v>0.3</v>
      </c>
      <c r="D15" s="26">
        <v>40.98</v>
      </c>
      <c r="E15" s="26">
        <f t="shared" ref="E15:E25" si="1">LOG10(C15)</f>
        <v>-0.52287874528033762</v>
      </c>
    </row>
    <row r="16" spans="3:7" x14ac:dyDescent="0.2">
      <c r="C16" s="26">
        <v>0.14899999999999999</v>
      </c>
      <c r="D16" s="26">
        <v>39.659999999999997</v>
      </c>
      <c r="E16" s="26">
        <f t="shared" si="1"/>
        <v>-0.82681373158772598</v>
      </c>
      <c r="G16" s="26" cm="1">
        <f t="array" ref="G16">TREND(E12:E14, D12:D14, 60)</f>
        <v>2.0396836499548598E-2</v>
      </c>
    </row>
    <row r="17" spans="3:8" x14ac:dyDescent="0.2">
      <c r="C17" s="26">
        <v>7.4999999999999997E-2</v>
      </c>
      <c r="D17" s="26">
        <v>20.199004975124382</v>
      </c>
      <c r="E17" s="26">
        <f t="shared" si="1"/>
        <v>-1.1249387366082999</v>
      </c>
      <c r="G17" s="26">
        <f>10^G16</f>
        <v>1.0480857988381169</v>
      </c>
    </row>
    <row r="18" spans="3:8" x14ac:dyDescent="0.2">
      <c r="C18" s="26">
        <v>6.2E-2</v>
      </c>
      <c r="D18" s="26">
        <v>5.98</v>
      </c>
      <c r="E18" s="26">
        <f t="shared" si="1"/>
        <v>-1.2076083105017461</v>
      </c>
    </row>
    <row r="19" spans="3:8" x14ac:dyDescent="0.2">
      <c r="C19" s="26">
        <v>3.6999999999999998E-2</v>
      </c>
      <c r="D19" s="26">
        <v>5.28</v>
      </c>
      <c r="E19" s="26">
        <f t="shared" si="1"/>
        <v>-1.431798275933005</v>
      </c>
    </row>
    <row r="20" spans="3:8" x14ac:dyDescent="0.2">
      <c r="C20" s="26">
        <v>2.8000000000000001E-2</v>
      </c>
      <c r="D20" s="26">
        <v>3.1</v>
      </c>
      <c r="E20" s="26">
        <f t="shared" si="1"/>
        <v>-1.5528419686577808</v>
      </c>
      <c r="G20" s="26" cm="1">
        <f t="array" ref="G20">TREND(E13:E14, D13:D14, 60)</f>
        <v>5.4985564527537445E-2</v>
      </c>
    </row>
    <row r="21" spans="3:8" x14ac:dyDescent="0.2">
      <c r="C21" s="26">
        <v>2.5000000000000001E-2</v>
      </c>
      <c r="D21" s="26">
        <v>2.35</v>
      </c>
      <c r="E21" s="26">
        <f t="shared" si="1"/>
        <v>-1.6020599913279623</v>
      </c>
      <c r="G21" s="26">
        <f>10^G20</f>
        <v>1.1349730897840986</v>
      </c>
    </row>
    <row r="22" spans="3:8" x14ac:dyDescent="0.2">
      <c r="C22" s="26">
        <v>1.9E-2</v>
      </c>
      <c r="D22" s="26">
        <v>1.5</v>
      </c>
      <c r="E22" s="26">
        <f t="shared" si="1"/>
        <v>-1.7212463990471711</v>
      </c>
    </row>
    <row r="23" spans="3:8" x14ac:dyDescent="0.2">
      <c r="C23" s="26">
        <v>1.4999999999999999E-2</v>
      </c>
      <c r="D23" s="26">
        <v>0.78</v>
      </c>
      <c r="E23" s="26">
        <f t="shared" si="1"/>
        <v>-1.8239087409443189</v>
      </c>
    </row>
    <row r="24" spans="3:8" x14ac:dyDescent="0.2">
      <c r="C24" s="26">
        <v>1.4E-2</v>
      </c>
      <c r="D24" s="26">
        <v>0.2</v>
      </c>
      <c r="E24" s="26">
        <f t="shared" si="1"/>
        <v>-1.853871964321762</v>
      </c>
      <c r="G24" s="26" cm="1">
        <f t="array" ref="G24">TREND(E15:E15, D15:D15, 30)</f>
        <v>-0.52287874528033762</v>
      </c>
    </row>
    <row r="25" spans="3:8" x14ac:dyDescent="0.2">
      <c r="C25" s="26">
        <v>1.2999999999999999E-2</v>
      </c>
      <c r="D25" s="26">
        <v>0.17</v>
      </c>
      <c r="E25" s="26">
        <f t="shared" si="1"/>
        <v>-1.8860566476931633</v>
      </c>
      <c r="G25" s="26">
        <f>10^G24</f>
        <v>0.29999999999999993</v>
      </c>
    </row>
    <row r="27" spans="3:8" x14ac:dyDescent="0.2">
      <c r="G27" s="26" cm="1">
        <f t="array" ref="G27">TREND(E20:E21, D20:D21, 10)</f>
        <v>-1.1000361600921111</v>
      </c>
    </row>
    <row r="28" spans="3:8" x14ac:dyDescent="0.2">
      <c r="G28" s="26">
        <f>10^G27</f>
        <v>7.9426210036706024E-2</v>
      </c>
    </row>
    <row r="30" spans="3:8" ht="17" thickBot="1" x14ac:dyDescent="0.25"/>
    <row r="31" spans="3:8" ht="17" thickBot="1" x14ac:dyDescent="0.25">
      <c r="C31" s="40" t="s">
        <v>10</v>
      </c>
      <c r="D31" s="41"/>
      <c r="E31" s="41"/>
      <c r="F31" s="41"/>
      <c r="G31" s="41"/>
      <c r="H31" s="41"/>
    </row>
    <row r="32" spans="3:8" ht="17" thickBot="1" x14ac:dyDescent="0.25">
      <c r="C32" s="28" t="s">
        <v>21</v>
      </c>
      <c r="D32" s="27">
        <v>2.9453</v>
      </c>
      <c r="E32" s="28" t="s">
        <v>12</v>
      </c>
      <c r="F32" s="30" cm="1">
        <f t="array" ref="F32">10^TREND(E13:E14, D13:D14, 60)</f>
        <v>1.1349730897840986</v>
      </c>
      <c r="G32" s="28" t="s">
        <v>16</v>
      </c>
      <c r="H32" s="27">
        <f>F32/F34</f>
        <v>14.289654375546588</v>
      </c>
    </row>
    <row r="33" spans="3:16" ht="17" thickBot="1" x14ac:dyDescent="0.25">
      <c r="C33" s="28" t="s">
        <v>9</v>
      </c>
      <c r="D33" s="27">
        <v>76.855699999999999</v>
      </c>
      <c r="E33" s="28" t="s">
        <v>13</v>
      </c>
      <c r="F33" s="31" cm="1">
        <f t="array" ref="F33">10^TREND(E15:E15, D15:D15, 30)</f>
        <v>0.29999999999999993</v>
      </c>
      <c r="G33" s="28" t="s">
        <v>17</v>
      </c>
      <c r="H33" s="27">
        <f>(F33*F33)/(F34*F32)</f>
        <v>0.99837363808189816</v>
      </c>
    </row>
    <row r="34" spans="3:16" ht="17" thickBot="1" x14ac:dyDescent="0.25">
      <c r="C34" s="28" t="s">
        <v>11</v>
      </c>
      <c r="D34" s="27">
        <v>20.199000000000002</v>
      </c>
      <c r="E34" s="28" t="s">
        <v>14</v>
      </c>
      <c r="F34" s="32" cm="1">
        <f t="array" ref="F34">10^TREND(E20:E21, D20:D21, 10)</f>
        <v>7.9426210036706024E-2</v>
      </c>
      <c r="G34" s="27"/>
      <c r="H34" s="27"/>
    </row>
    <row r="44" spans="3:16" x14ac:dyDescent="0.2">
      <c r="L44" s="26">
        <v>10</v>
      </c>
      <c r="M44" s="26">
        <v>60</v>
      </c>
      <c r="O44" s="26">
        <f>F32</f>
        <v>1.1349730897840986</v>
      </c>
      <c r="P44" s="26">
        <v>0</v>
      </c>
    </row>
    <row r="45" spans="3:16" x14ac:dyDescent="0.2">
      <c r="L45" s="26">
        <f>F32</f>
        <v>1.1349730897840986</v>
      </c>
      <c r="M45" s="26">
        <v>60</v>
      </c>
      <c r="O45" s="26">
        <f>F32</f>
        <v>1.1349730897840986</v>
      </c>
      <c r="P45" s="26">
        <v>60</v>
      </c>
    </row>
    <row r="48" spans="3:16" x14ac:dyDescent="0.2">
      <c r="L48" s="26">
        <v>10</v>
      </c>
      <c r="M48" s="26">
        <v>30</v>
      </c>
      <c r="O48" s="26">
        <f>F33</f>
        <v>0.29999999999999993</v>
      </c>
      <c r="P48" s="26">
        <v>0</v>
      </c>
    </row>
    <row r="49" spans="12:16" x14ac:dyDescent="0.2">
      <c r="L49" s="26">
        <f>F33</f>
        <v>0.29999999999999993</v>
      </c>
      <c r="M49" s="26">
        <v>30</v>
      </c>
      <c r="O49" s="26">
        <f>F33</f>
        <v>0.29999999999999993</v>
      </c>
      <c r="P49" s="26">
        <v>30</v>
      </c>
    </row>
    <row r="52" spans="12:16" x14ac:dyDescent="0.2">
      <c r="L52" s="26">
        <v>10</v>
      </c>
      <c r="M52" s="26">
        <v>10</v>
      </c>
      <c r="O52" s="26">
        <f>F34</f>
        <v>7.9426210036706024E-2</v>
      </c>
      <c r="P52" s="26">
        <v>0</v>
      </c>
    </row>
    <row r="53" spans="12:16" x14ac:dyDescent="0.2">
      <c r="L53" s="26">
        <f>F34</f>
        <v>7.9426210036706024E-2</v>
      </c>
      <c r="M53" s="26">
        <v>10</v>
      </c>
      <c r="O53" s="26">
        <f>F34</f>
        <v>7.9426210036706024E-2</v>
      </c>
      <c r="P53" s="26">
        <v>10</v>
      </c>
    </row>
  </sheetData>
  <mergeCells count="1">
    <mergeCell ref="C31:H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E9D8-DC86-F44C-9929-FF1C616E570D}">
  <dimension ref="B10:C16"/>
  <sheetViews>
    <sheetView zoomScale="125" workbookViewId="0">
      <selection activeCell="C17" sqref="C17"/>
    </sheetView>
  </sheetViews>
  <sheetFormatPr baseColWidth="10" defaultRowHeight="13" x14ac:dyDescent="0.15"/>
  <cols>
    <col min="3" max="3" width="12.33203125" bestFit="1" customWidth="1"/>
  </cols>
  <sheetData>
    <row r="10" spans="2:3" x14ac:dyDescent="0.15">
      <c r="B10" t="s">
        <v>78</v>
      </c>
      <c r="C10">
        <v>0.22600000000000001</v>
      </c>
    </row>
    <row r="11" spans="2:3" x14ac:dyDescent="0.15">
      <c r="B11" t="s">
        <v>79</v>
      </c>
      <c r="C11">
        <v>7.5</v>
      </c>
    </row>
    <row r="12" spans="2:3" x14ac:dyDescent="0.15">
      <c r="B12" t="s">
        <v>80</v>
      </c>
      <c r="C12">
        <v>7.5</v>
      </c>
    </row>
    <row r="13" spans="2:3" x14ac:dyDescent="0.15">
      <c r="B13" t="s">
        <v>81</v>
      </c>
      <c r="C13">
        <f>(3.14/4)*C12*C11</f>
        <v>44.15625</v>
      </c>
    </row>
    <row r="14" spans="2:3" x14ac:dyDescent="0.15">
      <c r="B14" t="s">
        <v>82</v>
      </c>
      <c r="C14">
        <v>120</v>
      </c>
    </row>
    <row r="15" spans="2:3" x14ac:dyDescent="0.15">
      <c r="B15" t="s">
        <v>83</v>
      </c>
      <c r="C15">
        <v>0.60099999999999998</v>
      </c>
    </row>
    <row r="16" spans="2:3" x14ac:dyDescent="0.15">
      <c r="B16" t="s">
        <v>84</v>
      </c>
      <c r="C16">
        <f>(C10*C11)/(C13*C14*C15)</f>
        <v>5.3225751372152805E-4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Seive Analysis</vt:lpstr>
      <vt:lpstr>Specific Gravity</vt:lpstr>
      <vt:lpstr>Hydrometer Analysis</vt:lpstr>
      <vt:lpstr>Atterberg Limits</vt:lpstr>
      <vt:lpstr>Seive + Hydro Data</vt:lpstr>
      <vt:lpstr>Permeability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Hajduk</dc:creator>
  <cp:lastModifiedBy>u2024645</cp:lastModifiedBy>
  <cp:lastPrinted>2013-02-04T21:38:18Z</cp:lastPrinted>
  <dcterms:created xsi:type="dcterms:W3CDTF">2013-02-04T20:38:04Z</dcterms:created>
  <dcterms:modified xsi:type="dcterms:W3CDTF">2026-04-29T18:56:10Z</dcterms:modified>
</cp:coreProperties>
</file>