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u2024645_giki_edu_pk/Documents/Semester 4/OEL's/"/>
    </mc:Choice>
  </mc:AlternateContent>
  <xr:revisionPtr revIDLastSave="123" documentId="8_{D25C4B7A-D8E0-884C-80C4-B408901B644E}" xr6:coauthVersionLast="47" xr6:coauthVersionMax="47" xr10:uidLastSave="{A9EF3834-D752-8244-B350-E262AC3BE30F}"/>
  <bookViews>
    <workbookView xWindow="1760" yWindow="660" windowWidth="27640" windowHeight="16300" xr2:uid="{95654C87-A3C9-344C-85DD-CD36A95463ED}"/>
  </bookViews>
  <sheets>
    <sheet name="Seive Analyis" sheetId="1" r:id="rId1"/>
    <sheet name="Seive + Hydro Data " sheetId="4" r:id="rId2"/>
    <sheet name="Atterberg Limit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1" i="1"/>
  <c r="H24" i="1" a="1"/>
  <c r="H24" i="1" s="1"/>
  <c r="H23" i="1" a="1"/>
  <c r="H23" i="1" s="1"/>
  <c r="H22" i="1" a="1"/>
  <c r="H22" i="1" s="1"/>
  <c r="E15" i="5" l="1"/>
  <c r="G63" i="5" s="1"/>
  <c r="G64" i="5" s="1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D25" i="5"/>
  <c r="E25" i="5" s="1"/>
  <c r="C25" i="5"/>
  <c r="B25" i="5"/>
  <c r="C14" i="5"/>
  <c r="B14" i="5"/>
  <c r="D12" i="5"/>
  <c r="K10" i="5" s="1"/>
  <c r="C12" i="5"/>
  <c r="B12" i="5"/>
  <c r="J10" i="5"/>
  <c r="K9" i="5"/>
  <c r="J9" i="5"/>
  <c r="K8" i="5"/>
  <c r="J8" i="5"/>
  <c r="B29" i="5" l="1"/>
  <c r="D14" i="5"/>
  <c r="E14" i="5" s="1"/>
  <c r="F34" i="4" l="1" a="1"/>
  <c r="F34" i="4" s="1"/>
  <c r="D34" i="4"/>
  <c r="F33" i="4" a="1"/>
  <c r="F33" i="4" s="1"/>
  <c r="F32" i="4" a="1"/>
  <c r="F32" i="4" s="1"/>
  <c r="G27" i="4" a="1"/>
  <c r="G27" i="4" s="1"/>
  <c r="G28" i="4" s="1"/>
  <c r="G24" i="4" a="1"/>
  <c r="G24" i="4" s="1"/>
  <c r="G25" i="4" s="1"/>
  <c r="G20" i="4" a="1"/>
  <c r="G20" i="4" s="1"/>
  <c r="G21" i="4" s="1"/>
  <c r="D32" i="4" s="1"/>
  <c r="D33" i="4" s="1"/>
  <c r="G16" i="4"/>
  <c r="G17" i="4" s="1"/>
  <c r="G16" i="4" a="1"/>
  <c r="G18" i="1"/>
  <c r="O31" i="1"/>
  <c r="L31" i="1"/>
  <c r="O30" i="1"/>
  <c r="H11" i="1"/>
  <c r="H12" i="1" s="1"/>
  <c r="O44" i="4" l="1"/>
  <c r="H32" i="4"/>
  <c r="O45" i="4"/>
  <c r="L45" i="4"/>
  <c r="O49" i="4"/>
  <c r="L49" i="4"/>
  <c r="H33" i="4"/>
  <c r="O48" i="4"/>
  <c r="O53" i="4"/>
  <c r="L53" i="4"/>
  <c r="O52" i="4"/>
  <c r="H13" i="1"/>
  <c r="H14" i="1" l="1"/>
  <c r="H15" i="1" l="1"/>
  <c r="H16" i="1" l="1"/>
  <c r="H17" i="1" l="1"/>
  <c r="I11" i="1" l="1"/>
  <c r="I17" i="1"/>
  <c r="J17" i="1" s="1"/>
  <c r="I12" i="1"/>
  <c r="J12" i="1" s="1"/>
  <c r="I13" i="1"/>
  <c r="J13" i="1" s="1"/>
  <c r="I14" i="1"/>
  <c r="J14" i="1" s="1"/>
  <c r="I15" i="1"/>
  <c r="J15" i="1" s="1"/>
  <c r="I16" i="1"/>
  <c r="J16" i="1" s="1"/>
  <c r="F24" i="1" s="1"/>
  <c r="O27" i="1" l="1"/>
  <c r="O24" i="1"/>
  <c r="O25" i="1"/>
  <c r="J22" i="1"/>
  <c r="L25" i="1"/>
  <c r="J11" i="1"/>
  <c r="F22" i="1"/>
  <c r="F23" i="1" s="1"/>
  <c r="J23" i="1" l="1"/>
  <c r="L28" i="1"/>
  <c r="O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<sst xmlns="http://schemas.openxmlformats.org/spreadsheetml/2006/main" count="59" uniqueCount="43">
  <si>
    <t>Sieve Analysis test calculations &amp; Particle Size Distribution Curve</t>
  </si>
  <si>
    <t>Sieve Number</t>
  </si>
  <si>
    <t>Diameter   (mm)</t>
  </si>
  <si>
    <t>Soil Retained (g)</t>
  </si>
  <si>
    <t>Accumulative Retain (gm)</t>
  </si>
  <si>
    <t>% Mass  Retain</t>
  </si>
  <si>
    <t>% Passing</t>
  </si>
  <si>
    <t>#4</t>
  </si>
  <si>
    <t>Inputs</t>
  </si>
  <si>
    <t>#10</t>
  </si>
  <si>
    <t>#40</t>
  </si>
  <si>
    <t>#50</t>
  </si>
  <si>
    <t>#100</t>
  </si>
  <si>
    <t>#200</t>
  </si>
  <si>
    <t>Pan</t>
  </si>
  <si>
    <t>RESULTS</t>
  </si>
  <si>
    <t>% gravel</t>
  </si>
  <si>
    <t>D60 (mm)</t>
  </si>
  <si>
    <t>Cu = D60/D10</t>
  </si>
  <si>
    <t>% sand</t>
  </si>
  <si>
    <t>D30 (mm)</t>
  </si>
  <si>
    <t>Cc = D30^2/D10* D60</t>
  </si>
  <si>
    <t>% fines</t>
  </si>
  <si>
    <t>D10 (mm)</t>
  </si>
  <si>
    <t>Log Scale</t>
  </si>
  <si>
    <t>Log Data</t>
  </si>
  <si>
    <t>% Finer</t>
  </si>
  <si>
    <t>Particle Size (mm)</t>
  </si>
  <si>
    <t>ATTERBERG LIMITS</t>
  </si>
  <si>
    <t>LIQUID LIMIT</t>
  </si>
  <si>
    <t xml:space="preserve">No. Of Blows </t>
  </si>
  <si>
    <t>Moisture Content</t>
  </si>
  <si>
    <t>Trial</t>
  </si>
  <si>
    <t>W1</t>
  </si>
  <si>
    <t>W2</t>
  </si>
  <si>
    <t>W3</t>
  </si>
  <si>
    <t>No. Of Blows</t>
  </si>
  <si>
    <t>Liquid Limit</t>
  </si>
  <si>
    <t>PLASTIC LIMIT</t>
  </si>
  <si>
    <t>Plasticity Index:</t>
  </si>
  <si>
    <t>LL</t>
  </si>
  <si>
    <t>A-Line</t>
  </si>
  <si>
    <t>U-Line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</si>
</sst>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000000"/>
    <numFmt numFmtId="166" formatCode="0.0000000000000000"/>
  </numFmts>
  <fonts count="1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1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2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0" fillId="0" borderId="0"/>
  </cellStyleXfs>
  <cellXfs count="36">
    <xf numFmtId="0" fontId="0" fillId="0" borderId="0" xfId="0"/>
    <xf numFmtId="164" fontId="2" fillId="0" borderId="0" xfId="0" applyNumberFormat="1" applyFont="1"/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/>
    <xf numFmtId="164" fontId="2" fillId="4" borderId="2" xfId="0" applyNumberFormat="1" applyFont="1" applyFill="1" applyBorder="1"/>
    <xf numFmtId="164" fontId="7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164" fontId="8" fillId="0" borderId="0" xfId="0" applyNumberFormat="1" applyFont="1"/>
    <xf numFmtId="164" fontId="4" fillId="0" borderId="0" xfId="0" applyNumberFormat="1" applyFont="1"/>
    <xf numFmtId="164" fontId="9" fillId="0" borderId="0" xfId="1" applyNumberFormat="1" applyFont="1"/>
    <xf numFmtId="0" fontId="2" fillId="0" borderId="0" xfId="0" applyFont="1"/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11" fillId="0" borderId="0" xfId="2" applyNumberFormat="1" applyFont="1"/>
    <xf numFmtId="164" fontId="11" fillId="0" borderId="1" xfId="2" applyNumberFormat="1" applyFont="1" applyBorder="1" applyAlignment="1">
      <alignment horizontal="center"/>
    </xf>
    <xf numFmtId="164" fontId="12" fillId="0" borderId="1" xfId="2" applyNumberFormat="1" applyFont="1" applyBorder="1" applyAlignment="1">
      <alignment horizontal="center"/>
    </xf>
    <xf numFmtId="164" fontId="12" fillId="0" borderId="0" xfId="2" applyNumberFormat="1" applyFont="1" applyAlignment="1">
      <alignment horizontal="center" vertical="center"/>
    </xf>
    <xf numFmtId="165" fontId="11" fillId="0" borderId="0" xfId="2" applyNumberFormat="1" applyFont="1"/>
    <xf numFmtId="166" fontId="11" fillId="0" borderId="1" xfId="2" applyNumberFormat="1" applyFont="1" applyBorder="1" applyAlignment="1">
      <alignment horizontal="right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4" fontId="4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2" fillId="3" borderId="1" xfId="2" applyNumberFormat="1" applyFont="1" applyFill="1" applyBorder="1" applyAlignment="1">
      <alignment horizontal="center"/>
    </xf>
    <xf numFmtId="164" fontId="11" fillId="3" borderId="1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CC6DE5D-643E-D842-8771-5DF4BA0F4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Gradation</a:t>
            </a:r>
            <a:r>
              <a:rPr lang="en-US" sz="1600" b="1" baseline="0"/>
              <a:t> Curve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particle size distribution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'Seive Analyis'!$F$11:$F$16</c:f>
              <c:numCache>
                <c:formatCode>0.00000</c:formatCode>
                <c:ptCount val="6"/>
                <c:pt idx="0">
                  <c:v>4.75</c:v>
                </c:pt>
                <c:pt idx="1">
                  <c:v>2</c:v>
                </c:pt>
                <c:pt idx="2">
                  <c:v>0.42499999999999999</c:v>
                </c:pt>
                <c:pt idx="3">
                  <c:v>0.3</c:v>
                </c:pt>
                <c:pt idx="4">
                  <c:v>0.14899999999999999</c:v>
                </c:pt>
                <c:pt idx="5">
                  <c:v>7.4999999999999997E-2</c:v>
                </c:pt>
              </c:numCache>
            </c:numRef>
          </c:xVal>
          <c:yVal>
            <c:numRef>
              <c:f>'Seive Analyis'!$J$11:$J$16</c:f>
              <c:numCache>
                <c:formatCode>0.00000</c:formatCode>
                <c:ptCount val="6"/>
                <c:pt idx="0">
                  <c:v>94.796862429605795</c:v>
                </c:pt>
                <c:pt idx="1">
                  <c:v>83.473451327433622</c:v>
                </c:pt>
                <c:pt idx="2">
                  <c:v>56.63917940466613</c:v>
                </c:pt>
                <c:pt idx="3">
                  <c:v>22.880128720836694</c:v>
                </c:pt>
                <c:pt idx="4">
                  <c:v>9.8712791633145685</c:v>
                </c:pt>
                <c:pt idx="5">
                  <c:v>0.98551890587287971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2F-8642-9F1E-862A2A58EB3F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'[1]Seive Analysis'!$L$24:$L$25</c:f>
              <c:numCache>
                <c:formatCode>0.00000</c:formatCode>
                <c:ptCount val="2"/>
                <c:pt idx="0">
                  <c:v>10</c:v>
                </c:pt>
                <c:pt idx="1">
                  <c:v>1.1221300000000001</c:v>
                </c:pt>
              </c:numCache>
            </c:numRef>
          </c:xVal>
          <c:yVal>
            <c:numRef>
              <c:f>'[1]Seive Analysis'!$M$24:$M$25</c:f>
              <c:numCache>
                <c:formatCode>0.00000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2F-8642-9F1E-862A2A58EB3F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  <a:headEnd type="triangle"/>
              <a:tailEnd type="triangle"/>
            </a:ln>
            <a:effectLst/>
          </c:spPr>
          <c:marker>
            <c:symbol val="none"/>
          </c:marker>
          <c:xVal>
            <c:numRef>
              <c:f>'[1]Seive Analysis'!$O$24:$O$25</c:f>
              <c:numCache>
                <c:formatCode>0.00000</c:formatCode>
                <c:ptCount val="2"/>
                <c:pt idx="0">
                  <c:v>1.1221300000000001</c:v>
                </c:pt>
                <c:pt idx="1">
                  <c:v>1.1221300000000001</c:v>
                </c:pt>
              </c:numCache>
            </c:numRef>
          </c:xVal>
          <c:yVal>
            <c:numRef>
              <c:f>'[1]Seive Analysis'!$P$24:$P$25</c:f>
              <c:numCache>
                <c:formatCode>0.00000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2F-8642-9F1E-862A2A58EB3F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'[1]Seive Analysis'!$L$27:$L$28</c:f>
              <c:numCache>
                <c:formatCode>0.00000</c:formatCode>
                <c:ptCount val="2"/>
                <c:pt idx="0">
                  <c:v>10</c:v>
                </c:pt>
                <c:pt idx="1">
                  <c:v>0.17978</c:v>
                </c:pt>
              </c:numCache>
            </c:numRef>
          </c:xVal>
          <c:yVal>
            <c:numRef>
              <c:f>'[1]Seive Analysis'!$M$27:$M$28</c:f>
              <c:numCache>
                <c:formatCode>0.00000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2F-8642-9F1E-862A2A58EB3F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none"/>
          </c:marker>
          <c:xVal>
            <c:numRef>
              <c:f>'[1]Seive Analysis'!$O$27:$O$28</c:f>
              <c:numCache>
                <c:formatCode>0.00000</c:formatCode>
                <c:ptCount val="2"/>
                <c:pt idx="0">
                  <c:v>0.17978</c:v>
                </c:pt>
                <c:pt idx="1">
                  <c:v>0.17978</c:v>
                </c:pt>
              </c:numCache>
            </c:numRef>
          </c:xVal>
          <c:yVal>
            <c:numRef>
              <c:f>'[1]Seive Analysis'!$P$27:$P$28</c:f>
              <c:numCache>
                <c:formatCode>0.00000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2F-8642-9F1E-862A2A58EB3F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'[1]Seive Analysis'!$L$30:$L$31</c:f>
              <c:numCache>
                <c:formatCode>0.00000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xVal>
          <c:yVal>
            <c:numRef>
              <c:f>'[1]Seive Analysis'!$M$30:$M$31</c:f>
              <c:numCache>
                <c:formatCode>0.00000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2F-8642-9F1E-862A2A58EB3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round/>
                <a:headEnd type="triangle"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2F-8642-9F1E-862A2A58EB3F}"/>
              </c:ext>
            </c:extLst>
          </c:dPt>
          <c:xVal>
            <c:numRef>
              <c:f>'[1]Seive Analysis'!$O$30:$O$31</c:f>
              <c:numCache>
                <c:formatCode>0.00000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'[1]Seive Analysis'!$P$30:$P$31</c:f>
              <c:numCache>
                <c:formatCode>0.00000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2F-8642-9F1E-862A2A58E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29264"/>
        <c:axId val="366725656"/>
      </c:scatterChart>
      <c:valAx>
        <c:axId val="366729264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Particle Dia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5656"/>
        <c:crosses val="autoZero"/>
        <c:crossBetween val="midCat"/>
      </c:valAx>
      <c:valAx>
        <c:axId val="3667256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% Passing</a:t>
                </a:r>
              </a:p>
            </c:rich>
          </c:tx>
          <c:layout>
            <c:manualLayout>
              <c:xMode val="edge"/>
              <c:yMode val="edge"/>
              <c:x val="0.9481726340811174"/>
              <c:y val="0.40876078992799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Gradation</a:t>
            </a:r>
            <a:r>
              <a:rPr lang="en-US" sz="1600" b="1" baseline="0"/>
              <a:t> Curve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Hydro Data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'Seive + Hydro Data'!#REF!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'Seive + Hydro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2-2648-959B-5AF447C5582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'Seive + Hydro Data '!$C$12:$C$22</c:f>
              <c:numCache>
                <c:formatCode>0.00000</c:formatCode>
                <c:ptCount val="11"/>
                <c:pt idx="0">
                  <c:v>4.75</c:v>
                </c:pt>
                <c:pt idx="1">
                  <c:v>2</c:v>
                </c:pt>
                <c:pt idx="2">
                  <c:v>0.42499999999999999</c:v>
                </c:pt>
                <c:pt idx="3">
                  <c:v>0.3</c:v>
                </c:pt>
                <c:pt idx="4">
                  <c:v>0.14899999999999999</c:v>
                </c:pt>
                <c:pt idx="5">
                  <c:v>7.4999999999999997E-2</c:v>
                </c:pt>
                <c:pt idx="6">
                  <c:v>5.7599999999999998E-2</c:v>
                </c:pt>
                <c:pt idx="7">
                  <c:v>4.2299999999999997E-2</c:v>
                </c:pt>
                <c:pt idx="8">
                  <c:v>3.1300000000000001E-2</c:v>
                </c:pt>
                <c:pt idx="9">
                  <c:v>2.35E-2</c:v>
                </c:pt>
                <c:pt idx="10">
                  <c:v>1.7600000000000001E-2</c:v>
                </c:pt>
              </c:numCache>
            </c:numRef>
          </c:xVal>
          <c:yVal>
            <c:numRef>
              <c:f>'Seive + Hydro Data '!$D$12:$D$22</c:f>
              <c:numCache>
                <c:formatCode>0.00000</c:formatCode>
                <c:ptCount val="11"/>
                <c:pt idx="0">
                  <c:v>98.034274193548384</c:v>
                </c:pt>
                <c:pt idx="1">
                  <c:v>83.042338709677423</c:v>
                </c:pt>
                <c:pt idx="2">
                  <c:v>68.247983870967744</c:v>
                </c:pt>
                <c:pt idx="3">
                  <c:v>61.153225806451609</c:v>
                </c:pt>
                <c:pt idx="4">
                  <c:v>48.594758064516128</c:v>
                </c:pt>
                <c:pt idx="5">
                  <c:v>26.881048387096769</c:v>
                </c:pt>
                <c:pt idx="6">
                  <c:v>23.7</c:v>
                </c:pt>
                <c:pt idx="7">
                  <c:v>20.7</c:v>
                </c:pt>
                <c:pt idx="8">
                  <c:v>17.100000000000001</c:v>
                </c:pt>
                <c:pt idx="9">
                  <c:v>11.7</c:v>
                </c:pt>
                <c:pt idx="10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22-2648-959B-5AF447C55825}"/>
            </c:ext>
          </c:extLst>
        </c:ser>
        <c:ser>
          <c:idx val="1"/>
          <c:order val="2"/>
          <c:tx>
            <c:v>D60-H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 '!$L$44:$L$45</c:f>
              <c:numCache>
                <c:formatCode>0.00000</c:formatCode>
                <c:ptCount val="2"/>
                <c:pt idx="0">
                  <c:v>10</c:v>
                </c:pt>
                <c:pt idx="1">
                  <c:v>0.28132695624902943</c:v>
                </c:pt>
              </c:numCache>
            </c:numRef>
          </c:xVal>
          <c:yVal>
            <c:numRef>
              <c:f>'Seive + Hydro Data '!$M$44:$M$45</c:f>
              <c:numCache>
                <c:formatCode>0.00000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22-2648-959B-5AF447C55825}"/>
            </c:ext>
          </c:extLst>
        </c:ser>
        <c:ser>
          <c:idx val="2"/>
          <c:order val="3"/>
          <c:tx>
            <c:v>D60-V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 '!$O$44:$O$45</c:f>
              <c:numCache>
                <c:formatCode>0.00000</c:formatCode>
                <c:ptCount val="2"/>
                <c:pt idx="0">
                  <c:v>0.28132695624902943</c:v>
                </c:pt>
                <c:pt idx="1">
                  <c:v>0.28132695624902943</c:v>
                </c:pt>
              </c:numCache>
            </c:numRef>
          </c:xVal>
          <c:yVal>
            <c:numRef>
              <c:f>'Seive + Hydro Data '!$P$44:$P$45</c:f>
              <c:numCache>
                <c:formatCode>0.00000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22-2648-959B-5AF447C55825}"/>
            </c:ext>
          </c:extLst>
        </c:ser>
        <c:ser>
          <c:idx val="3"/>
          <c:order val="4"/>
          <c:tx>
            <c:v>D30-H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 '!$L$48:$L$49</c:f>
              <c:numCache>
                <c:formatCode>0.00000</c:formatCode>
                <c:ptCount val="2"/>
                <c:pt idx="0">
                  <c:v>10</c:v>
                </c:pt>
                <c:pt idx="1">
                  <c:v>8.2772078623338782E-2</c:v>
                </c:pt>
              </c:numCache>
            </c:numRef>
          </c:xVal>
          <c:yVal>
            <c:numRef>
              <c:f>'Seive + Hydro Data '!$M$48:$M$49</c:f>
              <c:numCache>
                <c:formatCode>0.00000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22-2648-959B-5AF447C55825}"/>
            </c:ext>
          </c:extLst>
        </c:ser>
        <c:ser>
          <c:idx val="4"/>
          <c:order val="5"/>
          <c:tx>
            <c:v>D30-V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 '!$O$48:$O$49</c:f>
              <c:numCache>
                <c:formatCode>0.00000</c:formatCode>
                <c:ptCount val="2"/>
                <c:pt idx="0">
                  <c:v>8.2772078623338782E-2</c:v>
                </c:pt>
                <c:pt idx="1">
                  <c:v>8.2772078623338782E-2</c:v>
                </c:pt>
              </c:numCache>
            </c:numRef>
          </c:xVal>
          <c:yVal>
            <c:numRef>
              <c:f>'Seive + Hydro Data '!$P$48:$P$49</c:f>
              <c:numCache>
                <c:formatCode>0.00000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22-2648-959B-5AF447C55825}"/>
            </c:ext>
          </c:extLst>
        </c:ser>
        <c:ser>
          <c:idx val="5"/>
          <c:order val="6"/>
          <c:tx>
            <c:v>D10-H</c:v>
          </c:tx>
          <c:spPr>
            <a:ln w="19050" cap="rnd">
              <a:solidFill>
                <a:schemeClr val="tx1"/>
              </a:solidFill>
              <a:round/>
              <a:tailEnd type="stealth" w="lg" len="med"/>
            </a:ln>
            <a:effectLst/>
          </c:spPr>
          <c:marker>
            <c:symbol val="none"/>
          </c:marker>
          <c:xVal>
            <c:numRef>
              <c:f>'Seive + Hydro Data '!$L$52:$L$53</c:f>
              <c:numCache>
                <c:formatCode>0.00000</c:formatCode>
                <c:ptCount val="2"/>
                <c:pt idx="0">
                  <c:v>10</c:v>
                </c:pt>
                <c:pt idx="1">
                  <c:v>2.1455627814809166E-2</c:v>
                </c:pt>
              </c:numCache>
            </c:numRef>
          </c:xVal>
          <c:yVal>
            <c:numRef>
              <c:f>'Seive + Hydro Data '!$M$52:$M$53</c:f>
              <c:numCache>
                <c:formatCode>0.00000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22-2648-959B-5AF447C55825}"/>
            </c:ext>
          </c:extLst>
        </c:ser>
        <c:ser>
          <c:idx val="6"/>
          <c:order val="7"/>
          <c:tx>
            <c:v>D10-V</c:v>
          </c:tx>
          <c:spPr>
            <a:ln w="19050" cap="rnd">
              <a:solidFill>
                <a:schemeClr val="tx1"/>
              </a:solidFill>
              <a:round/>
              <a:tailEnd type="stealth" w="lg" len="lg"/>
            </a:ln>
            <a:effectLst/>
          </c:spPr>
          <c:marker>
            <c:symbol val="none"/>
          </c:marker>
          <c:xVal>
            <c:numRef>
              <c:f>'Seive + Hydro Data '!$O$52:$O$53</c:f>
              <c:numCache>
                <c:formatCode>0.00000</c:formatCode>
                <c:ptCount val="2"/>
                <c:pt idx="0">
                  <c:v>2.1455627814809166E-2</c:v>
                </c:pt>
                <c:pt idx="1">
                  <c:v>2.1455627814809166E-2</c:v>
                </c:pt>
              </c:numCache>
            </c:numRef>
          </c:xVal>
          <c:yVal>
            <c:numRef>
              <c:f>'Seive + Hydro Data '!$P$52:$P$53</c:f>
              <c:numCache>
                <c:formatCode>0.00000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22-2648-959B-5AF447C5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29264"/>
        <c:axId val="366725656"/>
      </c:scatterChart>
      <c:valAx>
        <c:axId val="366729264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Particle Dia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5656"/>
        <c:crosses val="autoZero"/>
        <c:crossBetween val="midCat"/>
      </c:valAx>
      <c:valAx>
        <c:axId val="3667256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% Passing</a:t>
                </a:r>
              </a:p>
            </c:rich>
          </c:tx>
          <c:layout>
            <c:manualLayout>
              <c:xMode val="edge"/>
              <c:yMode val="edge"/>
              <c:x val="0.9481726340811174"/>
              <c:y val="0.40876078992799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'Atterberg Limits'!$J$8:$J$9</c:f>
              <c:numCache>
                <c:formatCode>General</c:formatCode>
                <c:ptCount val="2"/>
                <c:pt idx="0">
                  <c:v>1.5440680443502757</c:v>
                </c:pt>
                <c:pt idx="1">
                  <c:v>1.3979400086720377</c:v>
                </c:pt>
              </c:numCache>
            </c:numRef>
          </c:xVal>
          <c:yVal>
            <c:numRef>
              <c:f>'Atterberg Limits'!$K$8:$K$9</c:f>
              <c:numCache>
                <c:formatCode>General</c:formatCode>
                <c:ptCount val="2"/>
                <c:pt idx="0">
                  <c:v>20.481927710843372</c:v>
                </c:pt>
                <c:pt idx="1">
                  <c:v>21.107266435986137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0-334C-8253-47398519F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'[1]Atterberg Limits'!$J$8:$J$10</c:f>
              <c:numCache>
                <c:formatCode>General</c:formatCode>
                <c:ptCount val="3"/>
                <c:pt idx="0">
                  <c:v>1.2041199826559248</c:v>
                </c:pt>
                <c:pt idx="1">
                  <c:v>1.3979400086720377</c:v>
                </c:pt>
                <c:pt idx="2">
                  <c:v>1.5440680443502757</c:v>
                </c:pt>
              </c:numCache>
            </c:numRef>
          </c:xVal>
          <c:yVal>
            <c:numRef>
              <c:f>'[1]Atterberg Limits'!$K$8:$K$10</c:f>
              <c:numCache>
                <c:formatCode>General</c:formatCode>
                <c:ptCount val="3"/>
                <c:pt idx="0">
                  <c:v>23.456790123456774</c:v>
                </c:pt>
                <c:pt idx="1">
                  <c:v>21.107266435986137</c:v>
                </c:pt>
                <c:pt idx="2">
                  <c:v>20.481927710843372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8-D343-A9DC-BDD94070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Casagrande Plasticity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 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'[1]Atterberg Limits'!$B$36:$B$46</c:f>
              <c:numCache>
                <c:formatCode>General</c:formatCode>
                <c:ptCount val="11"/>
                <c:pt idx="2">
                  <c:v>0</c:v>
                </c:pt>
                <c:pt idx="3">
                  <c:v>7.3</c:v>
                </c:pt>
                <c:pt idx="4">
                  <c:v>14.6</c:v>
                </c:pt>
                <c:pt idx="5">
                  <c:v>21.9</c:v>
                </c:pt>
                <c:pt idx="6">
                  <c:v>29.2</c:v>
                </c:pt>
                <c:pt idx="7">
                  <c:v>36.5</c:v>
                </c:pt>
                <c:pt idx="8">
                  <c:v>43.8</c:v>
                </c:pt>
                <c:pt idx="9">
                  <c:v>51.1</c:v>
                </c:pt>
                <c:pt idx="10">
                  <c:v>58.4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D-0243-AC47-CC308CA1CC2F}"/>
            </c:ext>
          </c:extLst>
        </c:ser>
        <c:ser>
          <c:idx val="1"/>
          <c:order val="1"/>
          <c:tx>
            <c:v>U-Line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'[1]Atterberg Limits'!$C$36:$C$46</c:f>
              <c:numCache>
                <c:formatCode>General</c:formatCode>
                <c:ptCount val="11"/>
                <c:pt idx="1">
                  <c:v>0</c:v>
                </c:pt>
                <c:pt idx="2">
                  <c:v>10.8</c:v>
                </c:pt>
                <c:pt idx="3">
                  <c:v>19.8</c:v>
                </c:pt>
                <c:pt idx="4">
                  <c:v>28.8</c:v>
                </c:pt>
                <c:pt idx="5">
                  <c:v>37.800000000000004</c:v>
                </c:pt>
                <c:pt idx="6">
                  <c:v>46.800000000000004</c:v>
                </c:pt>
                <c:pt idx="7">
                  <c:v>55.800000000000004</c:v>
                </c:pt>
                <c:pt idx="8">
                  <c:v>64.8</c:v>
                </c:pt>
                <c:pt idx="9">
                  <c:v>73.8</c:v>
                </c:pt>
                <c:pt idx="10">
                  <c:v>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5D-0243-AC47-CC308CA1CC2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Limits'!$G$63:$G$64</c:f>
              <c:numCache>
                <c:formatCode>General</c:formatCode>
                <c:ptCount val="2"/>
                <c:pt idx="0">
                  <c:v>21.540094692563041</c:v>
                </c:pt>
                <c:pt idx="1">
                  <c:v>21.540094692563041</c:v>
                </c:pt>
              </c:numCache>
            </c:numRef>
          </c:xVal>
          <c:yVal>
            <c:numRef>
              <c:f>'[1]Atterberg Limits'!$H$63:$H$64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5D-0243-AC47-CC308CA1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520256"/>
        <c:axId val="549526976"/>
      </c:scatterChart>
      <c:valAx>
        <c:axId val="5495202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Liquid Limit</a:t>
                </a:r>
              </a:p>
            </c:rich>
          </c:tx>
          <c:layout>
            <c:manualLayout>
              <c:xMode val="edge"/>
              <c:yMode val="edge"/>
              <c:x val="0.40996391076115479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6976"/>
        <c:crosses val="autoZero"/>
        <c:crossBetween val="midCat"/>
        <c:majorUnit val="10"/>
        <c:minorUnit val="4"/>
      </c:valAx>
      <c:valAx>
        <c:axId val="54952697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Plasticity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'Atterberg Limits'!$J$8:$J$10</c:f>
              <c:numCache>
                <c:formatCode>General</c:formatCode>
                <c:ptCount val="3"/>
                <c:pt idx="0">
                  <c:v>1.5440680443502757</c:v>
                </c:pt>
                <c:pt idx="1">
                  <c:v>1.3979400086720377</c:v>
                </c:pt>
                <c:pt idx="2">
                  <c:v>1.2041199826559248</c:v>
                </c:pt>
              </c:numCache>
            </c:numRef>
          </c:xVal>
          <c:yVal>
            <c:numRef>
              <c:f>'Atterberg Limits'!$K$8:$K$10</c:f>
              <c:numCache>
                <c:formatCode>General</c:formatCode>
                <c:ptCount val="3"/>
                <c:pt idx="0">
                  <c:v>20.481927710843372</c:v>
                </c:pt>
                <c:pt idx="1">
                  <c:v>21.107266435986137</c:v>
                </c:pt>
                <c:pt idx="2">
                  <c:v>23.456790123456774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F-9247-888B-76F07A8B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'Atterberg Limits'!$J$8:$J$10</c:f>
              <c:numCache>
                <c:formatCode>General</c:formatCode>
                <c:ptCount val="3"/>
                <c:pt idx="0">
                  <c:v>1.5440680443502757</c:v>
                </c:pt>
                <c:pt idx="1">
                  <c:v>1.3979400086720377</c:v>
                </c:pt>
                <c:pt idx="2">
                  <c:v>1.2041199826559248</c:v>
                </c:pt>
              </c:numCache>
            </c:numRef>
          </c:xVal>
          <c:yVal>
            <c:numRef>
              <c:f>'Atterberg Limits'!$K$8:$K$10</c:f>
              <c:numCache>
                <c:formatCode>General</c:formatCode>
                <c:ptCount val="3"/>
                <c:pt idx="0">
                  <c:v>20.481927710843372</c:v>
                </c:pt>
                <c:pt idx="1">
                  <c:v>21.107266435986137</c:v>
                </c:pt>
                <c:pt idx="2">
                  <c:v>23.456790123456774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4-014C-BD2A-7D87F864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Casagrande Plasticity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 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'[1]Atterberg Limits'!$B$36:$B$46</c:f>
              <c:numCache>
                <c:formatCode>General</c:formatCode>
                <c:ptCount val="11"/>
                <c:pt idx="2">
                  <c:v>0</c:v>
                </c:pt>
                <c:pt idx="3">
                  <c:v>7.3</c:v>
                </c:pt>
                <c:pt idx="4">
                  <c:v>14.6</c:v>
                </c:pt>
                <c:pt idx="5">
                  <c:v>21.9</c:v>
                </c:pt>
                <c:pt idx="6">
                  <c:v>29.2</c:v>
                </c:pt>
                <c:pt idx="7">
                  <c:v>36.5</c:v>
                </c:pt>
                <c:pt idx="8">
                  <c:v>43.8</c:v>
                </c:pt>
                <c:pt idx="9">
                  <c:v>51.1</c:v>
                </c:pt>
                <c:pt idx="10">
                  <c:v>58.4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7-B840-83B7-38EA1467C8FE}"/>
            </c:ext>
          </c:extLst>
        </c:ser>
        <c:ser>
          <c:idx val="1"/>
          <c:order val="1"/>
          <c:tx>
            <c:v>U-Line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'[1]Atterberg Limits'!$C$36:$C$46</c:f>
              <c:numCache>
                <c:formatCode>General</c:formatCode>
                <c:ptCount val="11"/>
                <c:pt idx="1">
                  <c:v>0</c:v>
                </c:pt>
                <c:pt idx="2">
                  <c:v>10.8</c:v>
                </c:pt>
                <c:pt idx="3">
                  <c:v>19.8</c:v>
                </c:pt>
                <c:pt idx="4">
                  <c:v>28.8</c:v>
                </c:pt>
                <c:pt idx="5">
                  <c:v>37.800000000000004</c:v>
                </c:pt>
                <c:pt idx="6">
                  <c:v>46.800000000000004</c:v>
                </c:pt>
                <c:pt idx="7">
                  <c:v>55.800000000000004</c:v>
                </c:pt>
                <c:pt idx="8">
                  <c:v>64.8</c:v>
                </c:pt>
                <c:pt idx="9">
                  <c:v>73.8</c:v>
                </c:pt>
                <c:pt idx="10">
                  <c:v>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7-B840-83B7-38EA1467C8F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'[1]Atterberg Limits'!$G$63:$G$64</c:f>
              <c:numCache>
                <c:formatCode>General</c:formatCode>
                <c:ptCount val="2"/>
                <c:pt idx="0">
                  <c:v>21.540094692563041</c:v>
                </c:pt>
                <c:pt idx="1">
                  <c:v>21.540094692563041</c:v>
                </c:pt>
              </c:numCache>
            </c:numRef>
          </c:xVal>
          <c:yVal>
            <c:numRef>
              <c:f>'[1]Atterberg Limits'!$H$63:$H$64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A7-B840-83B7-38EA146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520256"/>
        <c:axId val="549526976"/>
      </c:scatterChart>
      <c:valAx>
        <c:axId val="5495202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Liquid Limit</a:t>
                </a:r>
              </a:p>
            </c:rich>
          </c:tx>
          <c:layout>
            <c:manualLayout>
              <c:xMode val="edge"/>
              <c:yMode val="edge"/>
              <c:x val="0.40996391076115479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6976"/>
        <c:crosses val="autoZero"/>
        <c:crossBetween val="midCat"/>
        <c:majorUnit val="10"/>
        <c:minorUnit val="4"/>
      </c:valAx>
      <c:valAx>
        <c:axId val="54952697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Plasticity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" Target="../charts/chart8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2</xdr:row>
      <xdr:rowOff>0</xdr:rowOff>
    </xdr:from>
    <xdr:to>
      <xdr:col>20</xdr:col>
      <xdr:colOff>561975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A3199-8E1C-A54C-BBF3-BAB00DD6D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279400</xdr:colOff>
      <xdr:row>10</xdr:row>
      <xdr:rowOff>25400</xdr:rowOff>
    </xdr:from>
    <xdr:to>
      <xdr:col>21</xdr:col>
      <xdr:colOff>318270</xdr:colOff>
      <xdr:row>34</xdr:row>
      <xdr:rowOff>142009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5A387-F4DE-EB4E-894F-A605716E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12</xdr:row>
      <xdr:rowOff>0</xdr:rowOff>
    </xdr:from>
    <xdr:to>
      <xdr:col>12</xdr:col>
      <xdr:colOff>69850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9903C-2F42-EE45-B9EE-7BC1D2A4B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12</xdr:row>
      <xdr:rowOff>0</xdr:rowOff>
    </xdr:from>
    <xdr:to>
      <xdr:col>19</xdr:col>
      <xdr:colOff>450477</xdr:colOff>
      <xdr:row>25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207946-96EE-C24F-BE4D-47B656BFF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373677</xdr:colOff>
      <xdr:row>29</xdr:row>
      <xdr:rowOff>86495</xdr:rowOff>
    </xdr:from>
    <xdr:to>
      <xdr:col>20</xdr:col>
      <xdr:colOff>293299</xdr:colOff>
      <xdr:row>67</xdr:row>
      <xdr:rowOff>126246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7A39F5-3925-3142-8D36-7B7F4B089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8277" y="5979295"/>
          <a:ext cx="6523622" cy="7761351"/>
        </a:xfrm>
        <a:prstGeom prst="rect">
          <a:avLst/>
        </a:prstGeom>
      </xdr:spPr>
    </xdr:pic>
    <xdr:clientData/>
  </xdr:twoCellAnchor>
  <xdr:twoCellAnchor>
    <xdr:from>
      <xdr:col>4</xdr:col>
      <xdr:colOff>339811</xdr:colOff>
      <xdr:row>44</xdr:row>
      <xdr:rowOff>18535</xdr:rowOff>
    </xdr:from>
    <xdr:to>
      <xdr:col>9</xdr:col>
      <xdr:colOff>609829</xdr:colOff>
      <xdr:row>57</xdr:row>
      <xdr:rowOff>84438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EA25B4-11E0-D441-A9D9-5F4A8A3C2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590550</xdr:colOff>
      <xdr:row>12</xdr:row>
      <xdr:rowOff>0</xdr:rowOff>
    </xdr:from>
    <xdr:to>
      <xdr:col>12</xdr:col>
      <xdr:colOff>69850</xdr:colOff>
      <xdr:row>25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C56791-A630-7C46-AEC5-E16560003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12</xdr:row>
      <xdr:rowOff>0</xdr:rowOff>
    </xdr:from>
    <xdr:to>
      <xdr:col>19</xdr:col>
      <xdr:colOff>450477</xdr:colOff>
      <xdr:row>25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B3385E-1BFC-5942-8280-B177789B8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373677</xdr:colOff>
      <xdr:row>29</xdr:row>
      <xdr:rowOff>86495</xdr:rowOff>
    </xdr:from>
    <xdr:to>
      <xdr:col>20</xdr:col>
      <xdr:colOff>293299</xdr:colOff>
      <xdr:row>67</xdr:row>
      <xdr:rowOff>126246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F13DB-2224-304D-BAF6-38016B098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8277" y="5979295"/>
          <a:ext cx="6523622" cy="7761351"/>
        </a:xfrm>
        <a:prstGeom prst="rect">
          <a:avLst/>
        </a:prstGeom>
      </xdr:spPr>
    </xdr:pic>
    <xdr:clientData/>
  </xdr:twoCellAnchor>
  <xdr:twoCellAnchor>
    <xdr:from>
      <xdr:col>4</xdr:col>
      <xdr:colOff>339811</xdr:colOff>
      <xdr:row>44</xdr:row>
      <xdr:rowOff>18535</xdr:rowOff>
    </xdr:from>
    <xdr:to>
      <xdr:col>9</xdr:col>
      <xdr:colOff>609829</xdr:colOff>
      <xdr:row>57</xdr:row>
      <xdr:rowOff>84438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805B09-7E16-7A47-970A-79DE88B1C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n-my.sharepoint.com/personal/u2024645_giki_edu_pk/Documents/Semester%204/OEL's/CV231-L%20OEL%20Data%20Sheet.xlsx" TargetMode="External"/><Relationship Id="rId1" Type="http://schemas.openxmlformats.org/officeDocument/2006/relationships/externalLinkPath" Target="CV231-L%20OEL%20Data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ive Analysis"/>
      <sheetName val="Specific Gravity"/>
      <sheetName val="Hydrometer Analysis"/>
      <sheetName val="Atterberg Limits"/>
      <sheetName val="Seive + Hydro Data"/>
      <sheetName val="Permeability"/>
    </sheetNames>
    <sheetDataSet>
      <sheetData sheetId="0">
        <row r="11">
          <cell r="F11">
            <v>4.75</v>
          </cell>
          <cell r="J11">
            <v>97.054726368159209</v>
          </cell>
        </row>
        <row r="12">
          <cell r="F12">
            <v>2</v>
          </cell>
          <cell r="J12">
            <v>70.945273631840791</v>
          </cell>
        </row>
        <row r="13">
          <cell r="F13">
            <v>0.42499999999999999</v>
          </cell>
          <cell r="J13">
            <v>41.611940298507463</v>
          </cell>
        </row>
        <row r="14">
          <cell r="F14">
            <v>0.3</v>
          </cell>
          <cell r="J14">
            <v>35.56218905472636</v>
          </cell>
        </row>
        <row r="15">
          <cell r="F15">
            <v>0.14899999999999999</v>
          </cell>
          <cell r="J15">
            <v>27.960199004975124</v>
          </cell>
        </row>
        <row r="16">
          <cell r="F16">
            <v>7.4999999999999997E-2</v>
          </cell>
          <cell r="J16">
            <v>20.199004975124382</v>
          </cell>
        </row>
        <row r="24">
          <cell r="L24">
            <v>10</v>
          </cell>
          <cell r="M24">
            <v>60</v>
          </cell>
          <cell r="O24">
            <v>1.1221300000000001</v>
          </cell>
          <cell r="P24">
            <v>0</v>
          </cell>
        </row>
        <row r="25">
          <cell r="L25">
            <v>1.1221300000000001</v>
          </cell>
          <cell r="M25">
            <v>60</v>
          </cell>
          <cell r="O25">
            <v>1.1221300000000001</v>
          </cell>
          <cell r="P25">
            <v>60</v>
          </cell>
        </row>
        <row r="27">
          <cell r="L27">
            <v>10</v>
          </cell>
          <cell r="M27">
            <v>30</v>
          </cell>
          <cell r="O27">
            <v>0.17978</v>
          </cell>
          <cell r="P27">
            <v>0</v>
          </cell>
        </row>
        <row r="28">
          <cell r="L28">
            <v>0.17978</v>
          </cell>
          <cell r="M28">
            <v>30</v>
          </cell>
          <cell r="O28">
            <v>0.17978</v>
          </cell>
          <cell r="P28">
            <v>30</v>
          </cell>
        </row>
        <row r="30">
          <cell r="L30">
            <v>10</v>
          </cell>
          <cell r="M30">
            <v>10</v>
          </cell>
          <cell r="O30">
            <v>0</v>
          </cell>
          <cell r="P30">
            <v>0</v>
          </cell>
        </row>
        <row r="31">
          <cell r="L31">
            <v>0</v>
          </cell>
          <cell r="M31">
            <v>10</v>
          </cell>
          <cell r="O31">
            <v>0</v>
          </cell>
          <cell r="P31">
            <v>10</v>
          </cell>
        </row>
      </sheetData>
      <sheetData sheetId="1"/>
      <sheetData sheetId="2"/>
      <sheetData sheetId="3">
        <row r="7">
          <cell r="K7" t="str">
            <v>Moisture Content</v>
          </cell>
        </row>
        <row r="8">
          <cell r="J8">
            <v>1.2041199826559248</v>
          </cell>
          <cell r="K8">
            <v>23.456790123456774</v>
          </cell>
        </row>
        <row r="9">
          <cell r="J9">
            <v>1.3979400086720377</v>
          </cell>
          <cell r="K9">
            <v>21.107266435986137</v>
          </cell>
        </row>
        <row r="10">
          <cell r="J10">
            <v>1.5440680443502757</v>
          </cell>
          <cell r="K10">
            <v>20.481927710843372</v>
          </cell>
        </row>
        <row r="36">
          <cell r="A36">
            <v>0</v>
          </cell>
        </row>
        <row r="37">
          <cell r="A37">
            <v>8</v>
          </cell>
          <cell r="C37">
            <v>0</v>
          </cell>
        </row>
        <row r="38">
          <cell r="A38">
            <v>20</v>
          </cell>
          <cell r="B38">
            <v>0</v>
          </cell>
          <cell r="C38">
            <v>10.8</v>
          </cell>
        </row>
        <row r="39">
          <cell r="A39">
            <v>30</v>
          </cell>
          <cell r="B39">
            <v>7.3</v>
          </cell>
          <cell r="C39">
            <v>19.8</v>
          </cell>
        </row>
        <row r="40">
          <cell r="A40">
            <v>40</v>
          </cell>
          <cell r="B40">
            <v>14.6</v>
          </cell>
          <cell r="C40">
            <v>28.8</v>
          </cell>
        </row>
        <row r="41">
          <cell r="A41">
            <v>50</v>
          </cell>
          <cell r="B41">
            <v>21.9</v>
          </cell>
          <cell r="C41">
            <v>37.800000000000004</v>
          </cell>
        </row>
        <row r="42">
          <cell r="A42">
            <v>60</v>
          </cell>
          <cell r="B42">
            <v>29.2</v>
          </cell>
          <cell r="C42">
            <v>46.800000000000004</v>
          </cell>
        </row>
        <row r="43">
          <cell r="A43">
            <v>70</v>
          </cell>
          <cell r="B43">
            <v>36.5</v>
          </cell>
          <cell r="C43">
            <v>55.800000000000004</v>
          </cell>
        </row>
        <row r="44">
          <cell r="A44">
            <v>80</v>
          </cell>
          <cell r="B44">
            <v>43.8</v>
          </cell>
          <cell r="C44">
            <v>64.8</v>
          </cell>
        </row>
        <row r="45">
          <cell r="A45">
            <v>90</v>
          </cell>
          <cell r="B45">
            <v>51.1</v>
          </cell>
          <cell r="C45">
            <v>73.8</v>
          </cell>
        </row>
        <row r="46">
          <cell r="A46">
            <v>100</v>
          </cell>
          <cell r="B46">
            <v>58.4</v>
          </cell>
          <cell r="C46">
            <v>82.8</v>
          </cell>
        </row>
        <row r="63">
          <cell r="G63">
            <v>21.540094692563041</v>
          </cell>
          <cell r="H63">
            <v>0</v>
          </cell>
        </row>
        <row r="64">
          <cell r="G64">
            <v>21.540094692563041</v>
          </cell>
          <cell r="H64">
            <v>60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0407-827B-A044-A2EE-71467C196FC2}">
  <dimension ref="A3:P39"/>
  <sheetViews>
    <sheetView tabSelected="1" workbookViewId="0">
      <selection activeCell="H22" sqref="H22:H24"/>
    </sheetView>
  </sheetViews>
  <sheetFormatPr baseColWidth="10" defaultColWidth="8.83203125" defaultRowHeight="14" x14ac:dyDescent="0.2"/>
  <cols>
    <col min="1" max="1" width="8.83203125" style="15"/>
    <col min="2" max="2" width="8.83203125" style="1"/>
    <col min="3" max="3" width="12.83203125" style="1" customWidth="1"/>
    <col min="4" max="5" width="8.83203125" style="1"/>
    <col min="6" max="6" width="12.33203125" style="1" customWidth="1"/>
    <col min="7" max="7" width="16.6640625" style="1" customWidth="1"/>
    <col min="8" max="8" width="25.5" style="1" customWidth="1"/>
    <col min="9" max="9" width="22.1640625" style="1" customWidth="1"/>
    <col min="10" max="10" width="12.33203125" style="1" customWidth="1"/>
    <col min="11" max="16384" width="8.83203125" style="1"/>
  </cols>
  <sheetData>
    <row r="3" spans="2:10" s="1" customFormat="1" x14ac:dyDescent="0.2">
      <c r="E3" s="29" t="s">
        <v>0</v>
      </c>
      <c r="F3" s="30"/>
      <c r="G3" s="30"/>
      <c r="H3" s="30"/>
      <c r="I3" s="30"/>
      <c r="J3" s="30"/>
    </row>
    <row r="4" spans="2:10" s="1" customFormat="1" x14ac:dyDescent="0.2">
      <c r="E4" s="30"/>
      <c r="F4" s="30"/>
      <c r="G4" s="30"/>
      <c r="H4" s="30"/>
      <c r="I4" s="30"/>
      <c r="J4" s="30"/>
    </row>
    <row r="5" spans="2:10" s="1" customFormat="1" x14ac:dyDescent="0.2">
      <c r="E5" s="30"/>
      <c r="F5" s="30"/>
      <c r="G5" s="30"/>
      <c r="H5" s="30"/>
      <c r="I5" s="30"/>
      <c r="J5" s="30"/>
    </row>
    <row r="9" spans="2:10" s="1" customFormat="1" ht="15" thickBot="1" x14ac:dyDescent="0.25"/>
    <row r="10" spans="2:10" s="1" customFormat="1" ht="31" thickBot="1" x14ac:dyDescent="0.25">
      <c r="D10" s="1" t="s">
        <v>24</v>
      </c>
      <c r="E10" s="2" t="s">
        <v>1</v>
      </c>
      <c r="F10" s="2" t="s">
        <v>2</v>
      </c>
      <c r="G10" s="3" t="s">
        <v>3</v>
      </c>
      <c r="H10" s="4" t="s">
        <v>4</v>
      </c>
      <c r="I10" s="2" t="s">
        <v>5</v>
      </c>
      <c r="J10" s="2" t="s">
        <v>6</v>
      </c>
    </row>
    <row r="11" spans="2:10" s="1" customFormat="1" ht="16" thickBot="1" x14ac:dyDescent="0.25">
      <c r="D11" s="1">
        <f>LOG10(F11)</f>
        <v>0.67669360962486658</v>
      </c>
      <c r="E11" s="5" t="s">
        <v>7</v>
      </c>
      <c r="F11" s="5">
        <v>4.75</v>
      </c>
      <c r="G11" s="6">
        <v>25.87</v>
      </c>
      <c r="H11" s="7">
        <f>G11</f>
        <v>25.87</v>
      </c>
      <c r="I11" s="7">
        <f>(H11/H$17)*100</f>
        <v>5.2031375703942082</v>
      </c>
      <c r="J11" s="7">
        <f>100-I11</f>
        <v>94.796862429605795</v>
      </c>
    </row>
    <row r="12" spans="2:10" s="1" customFormat="1" ht="16" thickBot="1" x14ac:dyDescent="0.25">
      <c r="B12" s="8" t="s">
        <v>8</v>
      </c>
      <c r="C12" s="9"/>
      <c r="D12" s="1">
        <f t="shared" ref="D12:D16" si="0">LOG10(F12)</f>
        <v>0.3010299956639812</v>
      </c>
      <c r="E12" s="5" t="s">
        <v>9</v>
      </c>
      <c r="F12" s="5">
        <v>2</v>
      </c>
      <c r="G12" s="6">
        <v>56.3</v>
      </c>
      <c r="H12" s="7">
        <f>G12+H11</f>
        <v>82.17</v>
      </c>
      <c r="I12" s="7">
        <f t="shared" ref="I12:I17" si="1">(H12/H$17)*100</f>
        <v>16.526548672566374</v>
      </c>
      <c r="J12" s="7">
        <f t="shared" ref="J12:J17" si="2">100-I12</f>
        <v>83.473451327433622</v>
      </c>
    </row>
    <row r="13" spans="2:10" s="1" customFormat="1" ht="16" thickBot="1" x14ac:dyDescent="0.25">
      <c r="D13" s="1">
        <f t="shared" si="0"/>
        <v>-0.37161106994968846</v>
      </c>
      <c r="E13" s="5" t="s">
        <v>10</v>
      </c>
      <c r="F13" s="5">
        <v>0.42499999999999999</v>
      </c>
      <c r="G13" s="6">
        <v>133.41999999999999</v>
      </c>
      <c r="H13" s="7">
        <f t="shared" ref="H13:H17" si="3">G13+H12</f>
        <v>215.58999999999997</v>
      </c>
      <c r="I13" s="7">
        <f t="shared" si="1"/>
        <v>43.36082059533387</v>
      </c>
      <c r="J13" s="7">
        <f t="shared" si="2"/>
        <v>56.63917940466613</v>
      </c>
    </row>
    <row r="14" spans="2:10" s="1" customFormat="1" ht="16" thickBot="1" x14ac:dyDescent="0.25">
      <c r="D14" s="1">
        <f t="shared" si="0"/>
        <v>-0.52287874528033762</v>
      </c>
      <c r="E14" s="5" t="s">
        <v>11</v>
      </c>
      <c r="F14" s="5">
        <v>0.3</v>
      </c>
      <c r="G14" s="6">
        <v>167.85</v>
      </c>
      <c r="H14" s="7">
        <f t="shared" si="3"/>
        <v>383.43999999999994</v>
      </c>
      <c r="I14" s="7">
        <f t="shared" si="1"/>
        <v>77.119871279163306</v>
      </c>
      <c r="J14" s="7">
        <f t="shared" si="2"/>
        <v>22.880128720836694</v>
      </c>
    </row>
    <row r="15" spans="2:10" s="1" customFormat="1" ht="16" thickBot="1" x14ac:dyDescent="0.25">
      <c r="D15" s="1">
        <f t="shared" si="0"/>
        <v>-0.82681373158772598</v>
      </c>
      <c r="E15" s="5" t="s">
        <v>12</v>
      </c>
      <c r="F15" s="5">
        <v>0.14899999999999999</v>
      </c>
      <c r="G15" s="6">
        <v>64.680000000000007</v>
      </c>
      <c r="H15" s="7">
        <f t="shared" si="3"/>
        <v>448.11999999999995</v>
      </c>
      <c r="I15" s="7">
        <f t="shared" si="1"/>
        <v>90.128720836685432</v>
      </c>
      <c r="J15" s="7">
        <f t="shared" si="2"/>
        <v>9.8712791633145685</v>
      </c>
    </row>
    <row r="16" spans="2:10" s="1" customFormat="1" ht="16" thickBot="1" x14ac:dyDescent="0.25">
      <c r="D16" s="1">
        <f t="shared" si="0"/>
        <v>-1.1249387366082999</v>
      </c>
      <c r="E16" s="5" t="s">
        <v>13</v>
      </c>
      <c r="F16" s="5">
        <v>7.4999999999999997E-2</v>
      </c>
      <c r="G16" s="6">
        <v>44.18</v>
      </c>
      <c r="H16" s="7">
        <f t="shared" si="3"/>
        <v>492.29999999999995</v>
      </c>
      <c r="I16" s="7">
        <f t="shared" si="1"/>
        <v>99.01448109412712</v>
      </c>
      <c r="J16" s="7">
        <f t="shared" si="2"/>
        <v>0.98551890587287971</v>
      </c>
    </row>
    <row r="17" spans="5:16" s="1" customFormat="1" ht="16" thickBot="1" x14ac:dyDescent="0.25">
      <c r="E17" s="10" t="s">
        <v>14</v>
      </c>
      <c r="F17" s="11">
        <v>0</v>
      </c>
      <c r="G17" s="6">
        <v>4.9000000000000004</v>
      </c>
      <c r="H17" s="7">
        <f t="shared" si="3"/>
        <v>497.19999999999993</v>
      </c>
      <c r="I17" s="7">
        <f t="shared" si="1"/>
        <v>100</v>
      </c>
      <c r="J17" s="7">
        <f t="shared" si="2"/>
        <v>0</v>
      </c>
    </row>
    <row r="18" spans="5:16" x14ac:dyDescent="0.2">
      <c r="G18" s="1">
        <f>SUM(G11:G17)</f>
        <v>497.19999999999993</v>
      </c>
    </row>
    <row r="19" spans="5:16" s="1" customFormat="1" x14ac:dyDescent="0.2"/>
    <row r="20" spans="5:16" s="1" customFormat="1" ht="15" thickBot="1" x14ac:dyDescent="0.25"/>
    <row r="21" spans="5:16" s="1" customFormat="1" ht="15" thickBot="1" x14ac:dyDescent="0.25">
      <c r="E21" s="31" t="s">
        <v>15</v>
      </c>
      <c r="F21" s="32"/>
      <c r="G21" s="32"/>
      <c r="H21" s="32"/>
      <c r="I21" s="32"/>
      <c r="J21" s="32"/>
    </row>
    <row r="22" spans="5:16" s="1" customFormat="1" ht="15" thickBot="1" x14ac:dyDescent="0.25">
      <c r="E22" s="7" t="s">
        <v>16</v>
      </c>
      <c r="F22" s="7">
        <f>I11</f>
        <v>5.2031375703942082</v>
      </c>
      <c r="G22" s="7" t="s">
        <v>17</v>
      </c>
      <c r="H22" s="16" cm="1">
        <f t="array" ref="H22">10^TREND(D12:D13, J12:J13, 60)</f>
        <v>0.51598005325948071</v>
      </c>
      <c r="I22" s="7" t="s">
        <v>18</v>
      </c>
      <c r="J22" s="7">
        <f>H22/H24</f>
        <v>3.4390560046650278</v>
      </c>
    </row>
    <row r="23" spans="5:16" s="1" customFormat="1" ht="15" thickBot="1" x14ac:dyDescent="0.25">
      <c r="E23" s="7" t="s">
        <v>19</v>
      </c>
      <c r="F23" s="7">
        <f>100-(F22+F24)</f>
        <v>93.811343523732916</v>
      </c>
      <c r="G23" s="7" t="s">
        <v>20</v>
      </c>
      <c r="H23" s="17" cm="1">
        <f t="array" ref="H23">10^TREND(D13:D14, J13:J14, 30)</f>
        <v>0.32286725358967694</v>
      </c>
      <c r="I23" s="7" t="s">
        <v>21</v>
      </c>
      <c r="J23" s="7">
        <f>(H23*H23)/(H22*H24)</f>
        <v>1.3465467041418311</v>
      </c>
    </row>
    <row r="24" spans="5:16" s="1" customFormat="1" ht="15" thickBot="1" x14ac:dyDescent="0.25">
      <c r="E24" s="7" t="s">
        <v>22</v>
      </c>
      <c r="F24" s="7">
        <f>J16</f>
        <v>0.98551890587287971</v>
      </c>
      <c r="G24" s="7" t="s">
        <v>23</v>
      </c>
      <c r="H24" s="16" cm="1">
        <f t="array" ref="H24">10^TREND(D14:D15, J14:J15, 10)</f>
        <v>0.15003537382338686</v>
      </c>
      <c r="I24" s="7"/>
      <c r="J24" s="7"/>
      <c r="L24" s="1">
        <v>10</v>
      </c>
      <c r="M24" s="1">
        <v>60</v>
      </c>
      <c r="O24" s="1">
        <f>H22</f>
        <v>0.51598005325948071</v>
      </c>
      <c r="P24" s="1">
        <v>0</v>
      </c>
    </row>
    <row r="25" spans="5:16" s="1" customFormat="1" x14ac:dyDescent="0.2">
      <c r="L25" s="1">
        <f>H22</f>
        <v>0.51598005325948071</v>
      </c>
      <c r="M25" s="1">
        <v>60</v>
      </c>
      <c r="O25" s="1">
        <f>H22</f>
        <v>0.51598005325948071</v>
      </c>
      <c r="P25" s="1">
        <v>60</v>
      </c>
    </row>
    <row r="27" spans="5:16" s="1" customFormat="1" x14ac:dyDescent="0.2">
      <c r="L27" s="1">
        <v>10</v>
      </c>
      <c r="M27" s="1">
        <v>30</v>
      </c>
      <c r="O27" s="1">
        <f>H23</f>
        <v>0.32286725358967694</v>
      </c>
      <c r="P27" s="1">
        <v>0</v>
      </c>
    </row>
    <row r="28" spans="5:16" s="1" customFormat="1" x14ac:dyDescent="0.2">
      <c r="L28" s="1">
        <f>H23</f>
        <v>0.32286725358967694</v>
      </c>
      <c r="M28" s="1">
        <v>30</v>
      </c>
      <c r="O28" s="1">
        <f>H23</f>
        <v>0.32286725358967694</v>
      </c>
      <c r="P28" s="1">
        <v>30</v>
      </c>
    </row>
    <row r="30" spans="5:16" s="1" customFormat="1" x14ac:dyDescent="0.2">
      <c r="L30" s="1">
        <v>10</v>
      </c>
      <c r="M30" s="1">
        <v>10</v>
      </c>
      <c r="O30" s="1">
        <f>H24</f>
        <v>0.15003537382338686</v>
      </c>
      <c r="P30" s="1">
        <v>0</v>
      </c>
    </row>
    <row r="31" spans="5:16" s="1" customFormat="1" x14ac:dyDescent="0.2">
      <c r="L31" s="1">
        <f>H24</f>
        <v>0.15003537382338686</v>
      </c>
      <c r="M31" s="1">
        <v>10</v>
      </c>
      <c r="O31" s="1">
        <f>H24</f>
        <v>0.15003537382338686</v>
      </c>
      <c r="P31" s="1">
        <v>10</v>
      </c>
    </row>
    <row r="34" spans="2:4" s="1" customFormat="1" ht="16" x14ac:dyDescent="0.2">
      <c r="B34" s="12"/>
      <c r="C34" s="12"/>
    </row>
    <row r="36" spans="2:4" s="1" customFormat="1" x14ac:dyDescent="0.2">
      <c r="C36" s="13"/>
      <c r="D36" s="14"/>
    </row>
    <row r="37" spans="2:4" s="1" customFormat="1" x14ac:dyDescent="0.2">
      <c r="C37" s="13"/>
    </row>
    <row r="39" spans="2:4" s="1" customFormat="1" x14ac:dyDescent="0.2"/>
  </sheetData>
  <mergeCells count="2">
    <mergeCell ref="E3:J5"/>
    <mergeCell ref="E21:J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4047-C924-2A4A-89B8-78B303EFE03A}">
  <dimension ref="C11:P53"/>
  <sheetViews>
    <sheetView topLeftCell="G12" zoomScale="66" zoomScaleNormal="110" workbookViewId="0">
      <selection activeCell="I35" sqref="I35"/>
    </sheetView>
  </sheetViews>
  <sheetFormatPr baseColWidth="10" defaultColWidth="10.83203125" defaultRowHeight="16" x14ac:dyDescent="0.2"/>
  <cols>
    <col min="1" max="2" width="10.83203125" style="18"/>
    <col min="3" max="3" width="21.83203125" style="18" customWidth="1"/>
    <col min="4" max="5" width="10.83203125" style="18"/>
    <col min="6" max="6" width="25.5" style="18" customWidth="1"/>
    <col min="7" max="7" width="19.5" style="18" customWidth="1"/>
    <col min="8" max="16384" width="10.83203125" style="18"/>
  </cols>
  <sheetData>
    <row r="11" spans="3:7" x14ac:dyDescent="0.2">
      <c r="C11" s="21" t="s">
        <v>27</v>
      </c>
      <c r="D11" s="21" t="s">
        <v>26</v>
      </c>
      <c r="E11" s="21" t="s">
        <v>25</v>
      </c>
    </row>
    <row r="12" spans="3:7" x14ac:dyDescent="0.2">
      <c r="C12" s="18">
        <v>4.75</v>
      </c>
      <c r="D12" s="18">
        <v>98.034274193548384</v>
      </c>
      <c r="E12" s="18">
        <v>0.67669360962486658</v>
      </c>
    </row>
    <row r="13" spans="3:7" x14ac:dyDescent="0.2">
      <c r="C13" s="18">
        <v>2</v>
      </c>
      <c r="D13" s="18">
        <v>83.042338709677423</v>
      </c>
      <c r="E13" s="18">
        <v>0.30102999566398114</v>
      </c>
    </row>
    <row r="14" spans="3:7" x14ac:dyDescent="0.2">
      <c r="C14" s="18">
        <v>0.42499999999999999</v>
      </c>
      <c r="D14" s="18">
        <v>68.247983870967744</v>
      </c>
      <c r="E14" s="18">
        <v>-0.3716110699496884</v>
      </c>
    </row>
    <row r="15" spans="3:7" x14ac:dyDescent="0.2">
      <c r="C15" s="18">
        <v>0.3</v>
      </c>
      <c r="D15" s="18">
        <v>61.153225806451609</v>
      </c>
      <c r="E15" s="18">
        <v>-0.52287874528033762</v>
      </c>
    </row>
    <row r="16" spans="3:7" x14ac:dyDescent="0.2">
      <c r="C16" s="18">
        <v>0.14899999999999999</v>
      </c>
      <c r="D16" s="18">
        <v>48.594758064516128</v>
      </c>
      <c r="E16" s="18">
        <v>-0.82681373158772598</v>
      </c>
      <c r="G16" s="18" cm="1">
        <f t="array" ref="G16">TREND(E12:E14, D12:D14, 60)</f>
        <v>-0.61071573384447397</v>
      </c>
    </row>
    <row r="17" spans="3:8" x14ac:dyDescent="0.2">
      <c r="C17" s="18">
        <v>7.4999999999999997E-2</v>
      </c>
      <c r="D17" s="18">
        <v>26.881048387096769</v>
      </c>
      <c r="E17" s="18">
        <v>-1.1249387366082999</v>
      </c>
      <c r="G17" s="18">
        <f>10^G16</f>
        <v>0.24506667936150373</v>
      </c>
    </row>
    <row r="18" spans="3:8" x14ac:dyDescent="0.2">
      <c r="C18" s="18">
        <v>5.7599999999999998E-2</v>
      </c>
      <c r="D18" s="18">
        <v>23.7</v>
      </c>
      <c r="E18" s="18">
        <v>-1.2395775165767879</v>
      </c>
    </row>
    <row r="19" spans="3:8" x14ac:dyDescent="0.2">
      <c r="C19" s="18">
        <v>4.2299999999999997E-2</v>
      </c>
      <c r="D19" s="18">
        <v>20.7</v>
      </c>
      <c r="E19" s="18">
        <v>-1.3736596326249575</v>
      </c>
    </row>
    <row r="20" spans="3:8" x14ac:dyDescent="0.2">
      <c r="C20" s="18">
        <v>3.1300000000000001E-2</v>
      </c>
      <c r="D20" s="18">
        <v>17.100000000000001</v>
      </c>
      <c r="E20" s="18">
        <v>-1.5044556624535512</v>
      </c>
      <c r="G20" s="18" cm="1">
        <f t="array" ref="G20">TREND(E13:E14, D13:D14, 60)</f>
        <v>-0.74661442228350205</v>
      </c>
    </row>
    <row r="21" spans="3:8" x14ac:dyDescent="0.2">
      <c r="C21" s="18">
        <v>2.35E-2</v>
      </c>
      <c r="D21" s="18">
        <v>11.7</v>
      </c>
      <c r="E21" s="18">
        <v>-1.6289321377282635</v>
      </c>
      <c r="G21" s="18">
        <f>10^G20</f>
        <v>0.17921963054941051</v>
      </c>
    </row>
    <row r="22" spans="3:8" x14ac:dyDescent="0.2">
      <c r="C22" s="18">
        <v>1.7600000000000001E-2</v>
      </c>
      <c r="D22" s="18">
        <v>6.3</v>
      </c>
      <c r="E22" s="18">
        <v>-1.7544873321858498</v>
      </c>
    </row>
    <row r="24" spans="3:8" x14ac:dyDescent="0.2">
      <c r="G24" s="18" cm="1">
        <f t="array" ref="G24">TREND(E15:E16, D15:D16, 30)</f>
        <v>-1.2768365889826601</v>
      </c>
    </row>
    <row r="25" spans="3:8" x14ac:dyDescent="0.2">
      <c r="G25" s="18">
        <f>10^G24</f>
        <v>5.2864412610563891E-2</v>
      </c>
    </row>
    <row r="27" spans="3:8" x14ac:dyDescent="0.2">
      <c r="G27" s="18" cm="1">
        <f t="array" ref="G27">TREND(E21:E22, D21:D22, 10)</f>
        <v>-1.6684587730204665</v>
      </c>
    </row>
    <row r="28" spans="3:8" x14ac:dyDescent="0.2">
      <c r="G28" s="18">
        <f>10^G27</f>
        <v>2.1455627814809166E-2</v>
      </c>
    </row>
    <row r="30" spans="3:8" ht="17" thickBot="1" x14ac:dyDescent="0.25"/>
    <row r="31" spans="3:8" ht="17" thickBot="1" x14ac:dyDescent="0.25">
      <c r="C31" s="33" t="s">
        <v>15</v>
      </c>
      <c r="D31" s="34"/>
      <c r="E31" s="34"/>
      <c r="F31" s="34"/>
      <c r="G31" s="34"/>
      <c r="H31" s="34"/>
    </row>
    <row r="32" spans="3:8" ht="17" thickBot="1" x14ac:dyDescent="0.25">
      <c r="C32" s="20" t="s">
        <v>16</v>
      </c>
      <c r="D32" s="7">
        <f>G21</f>
        <v>0.17921963054941051</v>
      </c>
      <c r="E32" s="20" t="s">
        <v>17</v>
      </c>
      <c r="F32" s="22" cm="1">
        <f t="array" ref="F32">10^TREND(E15:E16, D15:D16, 60)</f>
        <v>0.28132695624902943</v>
      </c>
      <c r="G32" s="20" t="s">
        <v>18</v>
      </c>
      <c r="H32" s="19">
        <f>F32/F34</f>
        <v>13.112035624278079</v>
      </c>
    </row>
    <row r="33" spans="3:16" ht="17" thickBot="1" x14ac:dyDescent="0.25">
      <c r="C33" s="20" t="s">
        <v>19</v>
      </c>
      <c r="D33" s="7">
        <f>100-(D32+D34)</f>
        <v>99.820780369450588</v>
      </c>
      <c r="E33" s="20" t="s">
        <v>20</v>
      </c>
      <c r="F33" s="23" cm="1">
        <f t="array" ref="F33">10^TREND(E16:E17, D16:D17, 30)</f>
        <v>8.2772078623338782E-2</v>
      </c>
      <c r="G33" s="20" t="s">
        <v>21</v>
      </c>
      <c r="H33" s="19">
        <f>(F33^2)/F32*F34</f>
        <v>5.2251360474818648E-4</v>
      </c>
    </row>
    <row r="34" spans="3:16" ht="17" thickBot="1" x14ac:dyDescent="0.25">
      <c r="C34" s="20" t="s">
        <v>22</v>
      </c>
      <c r="D34" s="7">
        <f>H26</f>
        <v>0</v>
      </c>
      <c r="E34" s="20" t="s">
        <v>23</v>
      </c>
      <c r="F34" s="23" cm="1">
        <f t="array" ref="F34">10^TREND(E21:E22, D21:D22, 10)</f>
        <v>2.1455627814809166E-2</v>
      </c>
      <c r="G34" s="19"/>
      <c r="H34" s="19"/>
    </row>
    <row r="44" spans="3:16" x14ac:dyDescent="0.2">
      <c r="L44" s="18">
        <v>10</v>
      </c>
      <c r="M44" s="18">
        <v>60</v>
      </c>
      <c r="O44" s="18">
        <f>F32</f>
        <v>0.28132695624902943</v>
      </c>
      <c r="P44" s="18">
        <v>0</v>
      </c>
    </row>
    <row r="45" spans="3:16" x14ac:dyDescent="0.2">
      <c r="L45" s="18">
        <f>F32</f>
        <v>0.28132695624902943</v>
      </c>
      <c r="M45" s="18">
        <v>60</v>
      </c>
      <c r="O45" s="18">
        <f>F32</f>
        <v>0.28132695624902943</v>
      </c>
      <c r="P45" s="18">
        <v>60</v>
      </c>
    </row>
    <row r="48" spans="3:16" x14ac:dyDescent="0.2">
      <c r="L48" s="18">
        <v>10</v>
      </c>
      <c r="M48" s="18">
        <v>30</v>
      </c>
      <c r="O48" s="18">
        <f>F33</f>
        <v>8.2772078623338782E-2</v>
      </c>
      <c r="P48" s="18">
        <v>0</v>
      </c>
    </row>
    <row r="49" spans="12:16" x14ac:dyDescent="0.2">
      <c r="L49" s="18">
        <f>F33</f>
        <v>8.2772078623338782E-2</v>
      </c>
      <c r="M49" s="18">
        <v>30</v>
      </c>
      <c r="O49" s="18">
        <f>F33</f>
        <v>8.2772078623338782E-2</v>
      </c>
      <c r="P49" s="18">
        <v>30</v>
      </c>
    </row>
    <row r="52" spans="12:16" x14ac:dyDescent="0.2">
      <c r="L52" s="18">
        <v>10</v>
      </c>
      <c r="M52" s="18">
        <v>10</v>
      </c>
      <c r="O52" s="18">
        <f>F34</f>
        <v>2.1455627814809166E-2</v>
      </c>
      <c r="P52" s="18">
        <v>0</v>
      </c>
    </row>
    <row r="53" spans="12:16" x14ac:dyDescent="0.2">
      <c r="L53" s="18">
        <f>F34</f>
        <v>2.1455627814809166E-2</v>
      </c>
      <c r="M53" s="18">
        <v>10</v>
      </c>
      <c r="O53" s="18">
        <f>F34</f>
        <v>2.1455627814809166E-2</v>
      </c>
      <c r="P53" s="18">
        <v>10</v>
      </c>
    </row>
  </sheetData>
  <mergeCells count="1">
    <mergeCell ref="C31:H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1741-7518-544A-846C-5CD5B6903FAD}">
  <dimension ref="A4:K64"/>
  <sheetViews>
    <sheetView topLeftCell="G10" zoomScale="125" workbookViewId="0">
      <selection activeCell="I30" sqref="I30:J31"/>
    </sheetView>
  </sheetViews>
  <sheetFormatPr baseColWidth="10" defaultColWidth="10.83203125" defaultRowHeight="16" x14ac:dyDescent="0.2"/>
  <cols>
    <col min="1" max="1" width="17.83203125" style="25" customWidth="1"/>
    <col min="2" max="8" width="10.83203125" style="25"/>
    <col min="9" max="9" width="13.1640625" style="25" customWidth="1"/>
    <col min="10" max="10" width="14.33203125" style="25" customWidth="1"/>
    <col min="11" max="11" width="17.6640625" style="25" customWidth="1"/>
    <col min="12" max="16384" width="10.83203125" style="25"/>
  </cols>
  <sheetData>
    <row r="4" spans="1:11" x14ac:dyDescent="0.2">
      <c r="A4" s="24" t="s">
        <v>28</v>
      </c>
    </row>
    <row r="5" spans="1:11" x14ac:dyDescent="0.2">
      <c r="A5" s="24"/>
    </row>
    <row r="6" spans="1:11" x14ac:dyDescent="0.2">
      <c r="A6" s="24" t="s">
        <v>29</v>
      </c>
      <c r="I6" s="26"/>
      <c r="J6" s="26"/>
      <c r="K6" s="26"/>
    </row>
    <row r="7" spans="1:11" x14ac:dyDescent="0.2">
      <c r="A7" s="24"/>
      <c r="I7" s="27" t="s">
        <v>30</v>
      </c>
      <c r="J7" s="28" t="s">
        <v>24</v>
      </c>
      <c r="K7" s="27" t="s">
        <v>31</v>
      </c>
    </row>
    <row r="8" spans="1:11" x14ac:dyDescent="0.2">
      <c r="A8" s="24" t="s">
        <v>32</v>
      </c>
      <c r="B8" s="25">
        <v>3</v>
      </c>
      <c r="C8" s="25">
        <v>2</v>
      </c>
      <c r="D8" s="25">
        <v>1</v>
      </c>
      <c r="I8" s="25">
        <v>35</v>
      </c>
      <c r="J8" s="25">
        <f>LOG10(I8)</f>
        <v>1.5440680443502757</v>
      </c>
      <c r="K8" s="25">
        <f>B12</f>
        <v>20.481927710843372</v>
      </c>
    </row>
    <row r="9" spans="1:11" x14ac:dyDescent="0.2">
      <c r="A9" s="24" t="s">
        <v>33</v>
      </c>
      <c r="B9" s="25">
        <v>35</v>
      </c>
      <c r="C9" s="25">
        <v>19</v>
      </c>
      <c r="D9" s="25">
        <v>27</v>
      </c>
      <c r="I9" s="25">
        <v>25</v>
      </c>
      <c r="J9" s="25">
        <f t="shared" ref="J9:J10" si="0">LOG10(I9)</f>
        <v>1.3979400086720377</v>
      </c>
      <c r="K9" s="25">
        <f>C12</f>
        <v>21.107266435986137</v>
      </c>
    </row>
    <row r="10" spans="1:11" x14ac:dyDescent="0.2">
      <c r="A10" s="24" t="s">
        <v>34</v>
      </c>
      <c r="B10" s="25">
        <v>64</v>
      </c>
      <c r="C10" s="25">
        <v>40</v>
      </c>
      <c r="D10" s="25">
        <v>50</v>
      </c>
      <c r="I10" s="25">
        <v>16</v>
      </c>
      <c r="J10" s="25">
        <f t="shared" si="0"/>
        <v>1.2041199826559248</v>
      </c>
      <c r="K10" s="25">
        <f>D12</f>
        <v>23.456790123456774</v>
      </c>
    </row>
    <row r="11" spans="1:11" x14ac:dyDescent="0.2">
      <c r="A11" s="24" t="s">
        <v>35</v>
      </c>
      <c r="B11" s="25">
        <v>59.07</v>
      </c>
      <c r="C11" s="25">
        <v>36.340000000000003</v>
      </c>
      <c r="D11" s="25">
        <v>45.63</v>
      </c>
    </row>
    <row r="12" spans="1:11" x14ac:dyDescent="0.2">
      <c r="A12" s="24" t="s">
        <v>31</v>
      </c>
      <c r="B12" s="25">
        <f>100*(B10-B11)/(B11-B9)</f>
        <v>20.481927710843372</v>
      </c>
      <c r="C12" s="25">
        <f t="shared" ref="C12:D12" si="1">100*(C10-C11)/(C11-C9)</f>
        <v>21.107266435986137</v>
      </c>
      <c r="D12" s="25">
        <f t="shared" si="1"/>
        <v>23.456790123456774</v>
      </c>
    </row>
    <row r="13" spans="1:11" x14ac:dyDescent="0.2">
      <c r="A13" s="24" t="s">
        <v>36</v>
      </c>
      <c r="B13" s="25">
        <v>35</v>
      </c>
      <c r="C13" s="25">
        <v>25</v>
      </c>
      <c r="D13" s="25">
        <v>16</v>
      </c>
    </row>
    <row r="14" spans="1:11" x14ac:dyDescent="0.2">
      <c r="A14" s="35" t="s">
        <v>37</v>
      </c>
      <c r="B14" s="25">
        <f>B12*(B13/25)^0.121</f>
        <v>21.333019056977637</v>
      </c>
      <c r="C14" s="25">
        <f t="shared" ref="C14:D14" si="2">C12*(C13/25)^0.121</f>
        <v>21.107266435986137</v>
      </c>
      <c r="D14" s="25">
        <f t="shared" si="2"/>
        <v>22.223699645826748</v>
      </c>
      <c r="E14" s="25">
        <f>AVERAGE(B14:D14)</f>
        <v>21.554661712930173</v>
      </c>
    </row>
    <row r="15" spans="1:11" x14ac:dyDescent="0.2">
      <c r="A15" s="35"/>
      <c r="E15" s="25">
        <f>-8.9295*(LOG10(25))+34.023</f>
        <v>21.540094692563041</v>
      </c>
    </row>
    <row r="19" spans="1:5" x14ac:dyDescent="0.2">
      <c r="A19" s="24" t="s">
        <v>38</v>
      </c>
    </row>
    <row r="21" spans="1:5" x14ac:dyDescent="0.2">
      <c r="A21" s="24" t="s">
        <v>32</v>
      </c>
      <c r="B21" s="25">
        <v>3</v>
      </c>
      <c r="C21" s="25">
        <v>2</v>
      </c>
      <c r="D21" s="25">
        <v>1</v>
      </c>
    </row>
    <row r="22" spans="1:5" x14ac:dyDescent="0.2">
      <c r="A22" s="24" t="s">
        <v>33</v>
      </c>
      <c r="B22" s="25">
        <v>19</v>
      </c>
      <c r="C22" s="25">
        <v>21</v>
      </c>
      <c r="D22" s="25">
        <v>15</v>
      </c>
    </row>
    <row r="23" spans="1:5" x14ac:dyDescent="0.2">
      <c r="A23" s="24" t="s">
        <v>34</v>
      </c>
      <c r="B23" s="25">
        <v>22</v>
      </c>
      <c r="C23" s="25">
        <v>25</v>
      </c>
      <c r="D23" s="25">
        <v>21</v>
      </c>
    </row>
    <row r="24" spans="1:5" x14ac:dyDescent="0.2">
      <c r="A24" s="24" t="s">
        <v>35</v>
      </c>
      <c r="B24" s="25">
        <v>21.57</v>
      </c>
      <c r="C24" s="25">
        <v>24.39</v>
      </c>
      <c r="D24" s="25">
        <v>20.079999999999998</v>
      </c>
    </row>
    <row r="25" spans="1:5" x14ac:dyDescent="0.2">
      <c r="A25" s="24" t="s">
        <v>31</v>
      </c>
      <c r="B25" s="25">
        <f>100*(B23-B24)/(B24-B22)</f>
        <v>16.731517509727613</v>
      </c>
      <c r="C25" s="25">
        <f t="shared" ref="C25:D25" si="3">100*(C23-C24)/(C24-C22)</f>
        <v>17.99410029498523</v>
      </c>
      <c r="D25" s="25">
        <f t="shared" si="3"/>
        <v>18.11023622047248</v>
      </c>
      <c r="E25" s="25">
        <f>AVERAGE(B25:D25)</f>
        <v>17.611951341728439</v>
      </c>
    </row>
    <row r="29" spans="1:5" x14ac:dyDescent="0.2">
      <c r="A29" s="24" t="s">
        <v>39</v>
      </c>
      <c r="B29" s="25">
        <f>E15-E25</f>
        <v>3.9281433508346026</v>
      </c>
    </row>
    <row r="35" spans="1:3" x14ac:dyDescent="0.2">
      <c r="A35" s="25" t="s">
        <v>40</v>
      </c>
      <c r="B35" s="25" t="s">
        <v>41</v>
      </c>
      <c r="C35" s="25" t="s">
        <v>42</v>
      </c>
    </row>
    <row r="36" spans="1:3" x14ac:dyDescent="0.2">
      <c r="A36" s="25">
        <v>0</v>
      </c>
    </row>
    <row r="37" spans="1:3" x14ac:dyDescent="0.2">
      <c r="A37" s="25">
        <v>8</v>
      </c>
      <c r="C37" s="25">
        <f t="shared" ref="C37:C46" si="4">0.9*(A37-8)</f>
        <v>0</v>
      </c>
    </row>
    <row r="38" spans="1:3" x14ac:dyDescent="0.2">
      <c r="A38" s="25">
        <v>20</v>
      </c>
      <c r="B38" s="25">
        <f t="shared" ref="B38:B46" si="5">0.73*(A38-20)</f>
        <v>0</v>
      </c>
      <c r="C38" s="25">
        <f t="shared" si="4"/>
        <v>10.8</v>
      </c>
    </row>
    <row r="39" spans="1:3" x14ac:dyDescent="0.2">
      <c r="A39" s="25">
        <v>30</v>
      </c>
      <c r="B39" s="25">
        <f t="shared" si="5"/>
        <v>7.3</v>
      </c>
      <c r="C39" s="25">
        <f t="shared" si="4"/>
        <v>19.8</v>
      </c>
    </row>
    <row r="40" spans="1:3" x14ac:dyDescent="0.2">
      <c r="A40" s="25">
        <v>40</v>
      </c>
      <c r="B40" s="25">
        <f t="shared" si="5"/>
        <v>14.6</v>
      </c>
      <c r="C40" s="25">
        <f t="shared" si="4"/>
        <v>28.8</v>
      </c>
    </row>
    <row r="41" spans="1:3" x14ac:dyDescent="0.2">
      <c r="A41" s="25">
        <v>50</v>
      </c>
      <c r="B41" s="25">
        <f t="shared" si="5"/>
        <v>21.9</v>
      </c>
      <c r="C41" s="25">
        <f t="shared" si="4"/>
        <v>37.800000000000004</v>
      </c>
    </row>
    <row r="42" spans="1:3" x14ac:dyDescent="0.2">
      <c r="A42" s="25">
        <v>60</v>
      </c>
      <c r="B42" s="25">
        <f t="shared" si="5"/>
        <v>29.2</v>
      </c>
      <c r="C42" s="25">
        <f t="shared" si="4"/>
        <v>46.800000000000004</v>
      </c>
    </row>
    <row r="43" spans="1:3" x14ac:dyDescent="0.2">
      <c r="A43" s="25">
        <v>70</v>
      </c>
      <c r="B43" s="25">
        <f t="shared" si="5"/>
        <v>36.5</v>
      </c>
      <c r="C43" s="25">
        <f t="shared" si="4"/>
        <v>55.800000000000004</v>
      </c>
    </row>
    <row r="44" spans="1:3" x14ac:dyDescent="0.2">
      <c r="A44" s="25">
        <v>80</v>
      </c>
      <c r="B44" s="25">
        <f t="shared" si="5"/>
        <v>43.8</v>
      </c>
      <c r="C44" s="25">
        <f t="shared" si="4"/>
        <v>64.8</v>
      </c>
    </row>
    <row r="45" spans="1:3" x14ac:dyDescent="0.2">
      <c r="A45" s="25">
        <v>90</v>
      </c>
      <c r="B45" s="25">
        <f t="shared" si="5"/>
        <v>51.1</v>
      </c>
      <c r="C45" s="25">
        <f t="shared" si="4"/>
        <v>73.8</v>
      </c>
    </row>
    <row r="46" spans="1:3" x14ac:dyDescent="0.2">
      <c r="A46" s="25">
        <v>100</v>
      </c>
      <c r="B46" s="25">
        <f t="shared" si="5"/>
        <v>58.4</v>
      </c>
      <c r="C46" s="25">
        <f t="shared" si="4"/>
        <v>82.8</v>
      </c>
    </row>
    <row r="63" spans="7:8" x14ac:dyDescent="0.2">
      <c r="G63" s="25">
        <f>E15</f>
        <v>21.540094692563041</v>
      </c>
      <c r="H63" s="25">
        <v>0</v>
      </c>
    </row>
    <row r="64" spans="7:8" x14ac:dyDescent="0.2">
      <c r="G64" s="25">
        <f>G63</f>
        <v>21.540094692563041</v>
      </c>
      <c r="H64" s="25">
        <v>60</v>
      </c>
    </row>
  </sheetData>
  <mergeCells count="1">
    <mergeCell ref="A14:A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Seive Analyis</vt:lpstr>
      <vt:lpstr>Seive + Hydro Data </vt:lpstr>
      <vt:lpstr>Atterberg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u2024645</dc:creator>
  <cp:lastModifiedBy>u2024645</cp:lastModifiedBy>
  <dcterms:created xsi:type="dcterms:W3CDTF">2026-04-25T13:31:50Z</dcterms:created>
  <dcterms:modified xsi:type="dcterms:W3CDTF">2026-04-29T18:56:09Z</dcterms:modified>
</cp:coreProperties>
</file>